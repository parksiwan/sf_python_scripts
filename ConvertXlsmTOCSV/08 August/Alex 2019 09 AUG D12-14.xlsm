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Sheet2" sheetId="2372" r:id="rId3"/>
    <sheet name="Sort" sheetId="2370" r:id="rId4"/>
    <sheet name="Sheet1" sheetId="2369" r:id="rId5"/>
    <sheet name="5A32パレット" sheetId="1953" r:id="rId6"/>
  </sheets>
  <definedNames>
    <definedName name="_xlnm._FilterDatabase" localSheetId="1" hidden="1">'Pallet Number'!$D$3:$AC$805</definedName>
    <definedName name="_xlnm._FilterDatabase" localSheetId="3" hidden="1">Sort!$A$1:$N$518</definedName>
    <definedName name="Exp">#REF!</definedName>
    <definedName name="_xlnm.Print_Area" localSheetId="1">'Pallet Number'!$B$1:$S$592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38" i="1" l="1"/>
  <c r="P357" i="1" l="1"/>
  <c r="P310" i="1" l="1"/>
  <c r="P17" i="1"/>
  <c r="P16" i="1"/>
  <c r="P419" i="1"/>
  <c r="P418" i="1"/>
  <c r="P394" i="1"/>
  <c r="P411" i="1"/>
  <c r="P284" i="1"/>
  <c r="P349" i="1"/>
  <c r="P340" i="1"/>
  <c r="P362" i="1"/>
  <c r="P361" i="1"/>
  <c r="P360" i="1"/>
  <c r="P72" i="1"/>
  <c r="P71" i="1"/>
  <c r="P59" i="1"/>
  <c r="P130" i="1"/>
  <c r="P193" i="1" l="1"/>
  <c r="P415" i="1"/>
  <c r="P414" i="1"/>
  <c r="P413" i="1"/>
  <c r="P412" i="1"/>
  <c r="P147" i="1"/>
  <c r="P172" i="1"/>
  <c r="P171" i="1"/>
  <c r="P138" i="1"/>
  <c r="P112" i="1"/>
  <c r="P368" i="1"/>
  <c r="P351" i="1" l="1"/>
  <c r="P570" i="1"/>
  <c r="P460" i="1"/>
  <c r="P571" i="1"/>
  <c r="P455" i="1"/>
  <c r="P189" i="1"/>
  <c r="P431" i="1" l="1"/>
  <c r="P430" i="1"/>
  <c r="P432" i="1"/>
  <c r="P567" i="1" l="1"/>
  <c r="P568" i="1"/>
  <c r="P569" i="1"/>
  <c r="P572" i="1"/>
  <c r="P573" i="1"/>
  <c r="P574" i="1"/>
  <c r="P575" i="1"/>
  <c r="P576" i="1"/>
  <c r="P646" i="1"/>
  <c r="P577" i="1"/>
  <c r="P562" i="1" l="1"/>
  <c r="P589" i="1" l="1"/>
  <c r="P445" i="1" l="1"/>
  <c r="P457" i="1" l="1"/>
  <c r="P131" i="1"/>
  <c r="P385" i="1"/>
  <c r="P423" i="1"/>
  <c r="P441" i="1"/>
  <c r="P442" i="1"/>
  <c r="P585" i="1"/>
  <c r="P198" i="1"/>
  <c r="P197" i="1"/>
  <c r="P196" i="1"/>
  <c r="P195" i="1"/>
  <c r="P194" i="1"/>
  <c r="P113" i="1" l="1"/>
  <c r="P146" i="1"/>
  <c r="P60" i="1"/>
  <c r="P132" i="1"/>
  <c r="P285" i="1"/>
  <c r="P149" i="1"/>
  <c r="P461" i="1"/>
  <c r="P590" i="1"/>
  <c r="P578" i="1" l="1"/>
  <c r="P579" i="1"/>
  <c r="P591" i="1"/>
  <c r="P359" i="1"/>
  <c r="P586" i="1"/>
  <c r="P580" i="1"/>
  <c r="P217" i="1" l="1"/>
  <c r="P581" i="1"/>
  <c r="P582" i="1"/>
  <c r="P587" i="1"/>
  <c r="P588" i="1"/>
  <c r="P584" i="1"/>
  <c r="P583" i="1"/>
  <c r="P24" i="1" l="1"/>
  <c r="P139" i="1"/>
  <c r="P592" i="1"/>
  <c r="P387" i="1" l="1"/>
  <c r="P369" i="1"/>
  <c r="P344" i="1"/>
  <c r="P109" i="1"/>
  <c r="P218" i="1"/>
  <c r="P216" i="1"/>
  <c r="P175" i="1" l="1"/>
  <c r="P517" i="1"/>
  <c r="P363" i="1"/>
  <c r="P342" i="1"/>
  <c r="P341" i="1"/>
  <c r="P61" i="1"/>
  <c r="P93" i="1"/>
  <c r="P100" i="1"/>
  <c r="P99" i="1"/>
  <c r="P98" i="1"/>
  <c r="P97" i="1"/>
  <c r="P96" i="1"/>
  <c r="P95" i="1"/>
  <c r="P101" i="1" l="1"/>
  <c r="P297" i="1"/>
  <c r="P296" i="1"/>
  <c r="P295" i="1"/>
  <c r="P294" i="1"/>
  <c r="P293" i="1"/>
  <c r="P292" i="1"/>
  <c r="P647" i="1" l="1"/>
  <c r="P648" i="1"/>
  <c r="P649" i="1"/>
  <c r="P650" i="1"/>
  <c r="P483" i="1" l="1"/>
  <c r="P482" i="1"/>
  <c r="P485" i="1"/>
  <c r="P489" i="1" l="1"/>
  <c r="P481" i="1"/>
  <c r="C481" i="1"/>
  <c r="P406" i="1" l="1"/>
  <c r="P531" i="1"/>
  <c r="P539" i="1" l="1"/>
  <c r="P530" i="1"/>
  <c r="Z506" i="1"/>
  <c r="P506" i="1"/>
  <c r="P492" i="1"/>
  <c r="P508" i="1"/>
  <c r="P495" i="1"/>
  <c r="P490" i="1"/>
  <c r="P434" i="1" l="1"/>
  <c r="P420" i="1"/>
  <c r="P651" i="1"/>
  <c r="P252" i="1" l="1"/>
  <c r="P155" i="1"/>
  <c r="P338" i="1"/>
  <c r="P92" i="1"/>
  <c r="P398" i="1" l="1"/>
  <c r="P399" i="1"/>
  <c r="P534" i="1"/>
  <c r="P532" i="1"/>
  <c r="P535" i="1"/>
  <c r="P511" i="1"/>
  <c r="P538" i="1"/>
  <c r="P509" i="1"/>
  <c r="P540" i="1"/>
  <c r="P496" i="1"/>
  <c r="P541" i="1"/>
  <c r="Z507" i="1"/>
  <c r="P507" i="1"/>
  <c r="P525" i="1"/>
  <c r="P493" i="1"/>
  <c r="P491" i="1"/>
  <c r="P421" i="1"/>
  <c r="P352" i="1" l="1"/>
  <c r="P521" i="1" l="1"/>
  <c r="P518" i="1"/>
  <c r="P533" i="1"/>
  <c r="P174" i="1"/>
  <c r="P393" i="1" l="1"/>
  <c r="P370" i="1"/>
  <c r="P343" i="1"/>
  <c r="P410" i="1"/>
  <c r="P435" i="1" l="1"/>
  <c r="P437" i="1"/>
  <c r="P436" i="1"/>
  <c r="P395" i="1"/>
  <c r="P364" i="1"/>
  <c r="P350" i="1"/>
  <c r="P9" i="1"/>
  <c r="P386" i="1"/>
  <c r="P339" i="1"/>
  <c r="P498" i="1" l="1"/>
  <c r="C498" i="1"/>
  <c r="P201" i="1" l="1"/>
  <c r="P43" i="1"/>
  <c r="P199" i="1"/>
  <c r="P102" i="1"/>
  <c r="P103" i="1"/>
  <c r="P104" i="1"/>
  <c r="P85" i="1"/>
  <c r="P84" i="1"/>
  <c r="P83" i="1"/>
  <c r="P82" i="1"/>
  <c r="P353" i="1" l="1"/>
  <c r="P390" i="1"/>
  <c r="P389" i="1"/>
  <c r="P388" i="1"/>
  <c r="P396" i="1" l="1"/>
  <c r="P397" i="1"/>
  <c r="P391" i="1" l="1"/>
  <c r="P148" i="1" l="1"/>
  <c r="P140" i="1"/>
  <c r="P433" i="1"/>
  <c r="P337" i="1"/>
  <c r="P336" i="1"/>
  <c r="P332" i="1"/>
  <c r="P372" i="1"/>
  <c r="P371" i="1"/>
  <c r="P366" i="1"/>
  <c r="P365" i="1"/>
  <c r="P26" i="1"/>
  <c r="P62" i="1"/>
  <c r="P143" i="1"/>
  <c r="P443" i="1"/>
  <c r="P345" i="1"/>
  <c r="C345" i="1"/>
  <c r="P157" i="1"/>
  <c r="P653" i="1" l="1"/>
  <c r="P654" i="1"/>
  <c r="P20" i="1" l="1"/>
  <c r="P383" i="1"/>
  <c r="P382" i="1"/>
  <c r="P381" i="1"/>
  <c r="P373" i="1"/>
  <c r="P86" i="1"/>
  <c r="P64" i="1"/>
  <c r="P63" i="1"/>
  <c r="P422" i="1"/>
  <c r="P125" i="1" l="1"/>
  <c r="P173" i="1" l="1"/>
  <c r="P499" i="1" l="1"/>
  <c r="C499" i="1"/>
  <c r="P254" i="1"/>
  <c r="P253" i="1"/>
  <c r="P462" i="1" l="1"/>
  <c r="P87" i="1"/>
  <c r="P65" i="1"/>
  <c r="P655" i="1"/>
  <c r="P158" i="1"/>
  <c r="P459" i="1" l="1"/>
  <c r="P458" i="1"/>
  <c r="P656" i="1" l="1"/>
  <c r="P463" i="1" l="1"/>
  <c r="P424" i="1" l="1"/>
  <c r="P425" i="1"/>
  <c r="P90" i="1"/>
  <c r="P89" i="1"/>
  <c r="P88" i="1"/>
  <c r="P115" i="1" l="1"/>
  <c r="P110" i="1" l="1"/>
  <c r="P358" i="1"/>
  <c r="P356" i="1"/>
  <c r="P464" i="1"/>
  <c r="P392" i="1"/>
  <c r="P465" i="1" l="1"/>
  <c r="P400" i="1"/>
  <c r="P68" i="1"/>
  <c r="P67" i="1"/>
  <c r="P66" i="1"/>
  <c r="P299" i="1"/>
  <c r="P298" i="1"/>
  <c r="P223" i="1"/>
  <c r="P222" i="1"/>
  <c r="P221" i="1"/>
  <c r="P220" i="1"/>
  <c r="P219" i="1"/>
  <c r="P334" i="1"/>
  <c r="P333" i="1"/>
  <c r="P74" i="1" l="1"/>
  <c r="P73" i="1"/>
  <c r="P70" i="1"/>
  <c r="P159" i="1" l="1"/>
  <c r="P367" i="1"/>
  <c r="P542" i="1" l="1"/>
  <c r="P543" i="1"/>
  <c r="P544" i="1"/>
  <c r="P522" i="1"/>
  <c r="P529" i="1"/>
  <c r="P527" i="1"/>
  <c r="P536" i="1"/>
  <c r="P528" i="1"/>
  <c r="P526" i="1"/>
  <c r="P523" i="1"/>
  <c r="P520" i="1"/>
  <c r="P519" i="1"/>
  <c r="P456" i="1" l="1"/>
  <c r="P141" i="1" l="1"/>
  <c r="P409" i="1"/>
  <c r="P27" i="1"/>
  <c r="P56" i="1"/>
  <c r="P657" i="1" l="1"/>
  <c r="P160" i="1" l="1"/>
  <c r="P282" i="1" l="1"/>
  <c r="C282" i="1"/>
  <c r="P203" i="1"/>
  <c r="P177" i="1" l="1"/>
  <c r="P446" i="1"/>
  <c r="P658" i="1" l="1"/>
  <c r="P500" i="1" l="1"/>
  <c r="C500" i="1"/>
  <c r="P128" i="1" l="1"/>
  <c r="P659" i="1" l="1"/>
  <c r="P129" i="1" l="1"/>
  <c r="P300" i="1" l="1"/>
  <c r="P288" i="1"/>
  <c r="P287" i="1"/>
  <c r="P466" i="1" l="1"/>
  <c r="P660" i="1"/>
  <c r="P123" i="1" l="1"/>
  <c r="P661" i="1" l="1"/>
  <c r="P269" i="1" l="1"/>
  <c r="P662" i="1" l="1"/>
  <c r="P426" i="1" l="1"/>
  <c r="P301" i="1"/>
  <c r="P224" i="1" l="1"/>
  <c r="P91" i="1" l="1"/>
  <c r="P427" i="1"/>
  <c r="P144" i="1"/>
  <c r="P204" i="1"/>
  <c r="P55" i="1"/>
  <c r="P57" i="1"/>
  <c r="P142" i="1" l="1"/>
  <c r="P319" i="1" l="1"/>
  <c r="P243" i="1" l="1"/>
  <c r="P663" i="1" l="1"/>
  <c r="P664" i="1" l="1"/>
  <c r="P211" i="1"/>
  <c r="P355" i="1" l="1"/>
  <c r="P305" i="1"/>
  <c r="P289" i="1"/>
  <c r="P468" i="1" l="1"/>
  <c r="P401" i="1" l="1"/>
  <c r="Y378" i="1"/>
  <c r="P378" i="1"/>
  <c r="C378" i="1"/>
  <c r="P377" i="1"/>
  <c r="P376" i="1"/>
  <c r="P375" i="1"/>
  <c r="P374" i="1"/>
  <c r="P23" i="1"/>
  <c r="P22" i="1"/>
  <c r="P21" i="1"/>
  <c r="P117" i="1" l="1"/>
  <c r="P116" i="1"/>
  <c r="P497" i="1" l="1"/>
  <c r="P494" i="1"/>
  <c r="P106" i="1" l="1"/>
  <c r="P105" i="1"/>
  <c r="P124" i="1"/>
  <c r="C124" i="1"/>
  <c r="P122" i="1"/>
  <c r="C122" i="1"/>
  <c r="P416" i="1"/>
  <c r="P315" i="1"/>
  <c r="P316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05" i="1"/>
  <c r="C805" i="1"/>
  <c r="P804" i="1"/>
  <c r="C804" i="1"/>
  <c r="P803" i="1"/>
  <c r="P802" i="1"/>
  <c r="P801" i="1"/>
  <c r="P800" i="1"/>
  <c r="P799" i="1"/>
  <c r="P798" i="1"/>
  <c r="W797" i="1" s="1"/>
  <c r="V797" i="1"/>
  <c r="P797" i="1"/>
  <c r="P796" i="1"/>
  <c r="P795" i="1"/>
  <c r="P794" i="1"/>
  <c r="C793" i="1"/>
  <c r="P792" i="1"/>
  <c r="P791" i="1"/>
  <c r="V790" i="1"/>
  <c r="U790" i="1" s="1"/>
  <c r="P790" i="1"/>
  <c r="C790" i="1"/>
  <c r="P789" i="1"/>
  <c r="P788" i="1"/>
  <c r="C788" i="1"/>
  <c r="P787" i="1"/>
  <c r="P786" i="1"/>
  <c r="P785" i="1"/>
  <c r="P784" i="1"/>
  <c r="C784" i="1"/>
  <c r="P783" i="1"/>
  <c r="C783" i="1"/>
  <c r="P782" i="1"/>
  <c r="C782" i="1"/>
  <c r="P781" i="1"/>
  <c r="P780" i="1"/>
  <c r="C780" i="1"/>
  <c r="P779" i="1"/>
  <c r="C779" i="1"/>
  <c r="P778" i="1"/>
  <c r="C778" i="1"/>
  <c r="P777" i="1"/>
  <c r="C777" i="1"/>
  <c r="P776" i="1"/>
  <c r="C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C758" i="1"/>
  <c r="P757" i="1"/>
  <c r="P756" i="1"/>
  <c r="P755" i="1"/>
  <c r="C755" i="1"/>
  <c r="P754" i="1"/>
  <c r="C754" i="1"/>
  <c r="P753" i="1"/>
  <c r="C753" i="1"/>
  <c r="P752" i="1"/>
  <c r="P751" i="1"/>
  <c r="P750" i="1"/>
  <c r="P749" i="1"/>
  <c r="P748" i="1"/>
  <c r="C748" i="1"/>
  <c r="P747" i="1"/>
  <c r="C747" i="1"/>
  <c r="P746" i="1"/>
  <c r="P745" i="1"/>
  <c r="V744" i="1"/>
  <c r="U744" i="1" s="1"/>
  <c r="P744" i="1"/>
  <c r="C744" i="1"/>
  <c r="P743" i="1"/>
  <c r="C743" i="1"/>
  <c r="P742" i="1"/>
  <c r="P741" i="1"/>
  <c r="P740" i="1"/>
  <c r="C740" i="1"/>
  <c r="P739" i="1"/>
  <c r="P738" i="1"/>
  <c r="P737" i="1"/>
  <c r="P736" i="1"/>
  <c r="P735" i="1"/>
  <c r="P734" i="1"/>
  <c r="P733" i="1"/>
  <c r="P732" i="1"/>
  <c r="P731" i="1"/>
  <c r="C731" i="1"/>
  <c r="P730" i="1"/>
  <c r="C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Z717" i="1"/>
  <c r="P717" i="1"/>
  <c r="P716" i="1"/>
  <c r="P715" i="1"/>
  <c r="Z714" i="1"/>
  <c r="P714" i="1"/>
  <c r="Z713" i="1"/>
  <c r="P713" i="1"/>
  <c r="P712" i="1"/>
  <c r="P711" i="1"/>
  <c r="P710" i="1"/>
  <c r="C710" i="1"/>
  <c r="Z709" i="1"/>
  <c r="P709" i="1"/>
  <c r="P708" i="1"/>
  <c r="C708" i="1"/>
  <c r="P707" i="1"/>
  <c r="P706" i="1"/>
  <c r="P705" i="1"/>
  <c r="C705" i="1"/>
  <c r="Z704" i="1"/>
  <c r="P704" i="1"/>
  <c r="P703" i="1"/>
  <c r="P702" i="1"/>
  <c r="C702" i="1"/>
  <c r="P701" i="1"/>
  <c r="P700" i="1"/>
  <c r="P699" i="1"/>
  <c r="P698" i="1"/>
  <c r="P697" i="1"/>
  <c r="P696" i="1"/>
  <c r="C696" i="1"/>
  <c r="P695" i="1"/>
  <c r="C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C682" i="1"/>
  <c r="P681" i="1"/>
  <c r="P680" i="1"/>
  <c r="P679" i="1"/>
  <c r="P678" i="1"/>
  <c r="P677" i="1"/>
  <c r="P676" i="1"/>
  <c r="P675" i="1"/>
  <c r="P674" i="1"/>
  <c r="P673" i="1"/>
  <c r="P672" i="1"/>
  <c r="P671" i="1"/>
  <c r="Z480" i="1"/>
  <c r="P480" i="1"/>
  <c r="P670" i="1"/>
  <c r="P669" i="1"/>
  <c r="P668" i="1"/>
  <c r="P667" i="1"/>
  <c r="P666" i="1"/>
  <c r="P114" i="1"/>
  <c r="Z645" i="1"/>
  <c r="P645" i="1"/>
  <c r="C645" i="1"/>
  <c r="P594" i="1"/>
  <c r="P566" i="1"/>
  <c r="C566" i="1"/>
  <c r="P565" i="1"/>
  <c r="P564" i="1"/>
  <c r="P563" i="1"/>
  <c r="P561" i="1"/>
  <c r="C561" i="1"/>
  <c r="P560" i="1"/>
  <c r="P559" i="1"/>
  <c r="P558" i="1"/>
  <c r="P557" i="1"/>
  <c r="P556" i="1"/>
  <c r="C556" i="1"/>
  <c r="P555" i="1"/>
  <c r="P554" i="1"/>
  <c r="P553" i="1"/>
  <c r="P552" i="1"/>
  <c r="P551" i="1"/>
  <c r="P550" i="1"/>
  <c r="P549" i="1"/>
  <c r="P548" i="1"/>
  <c r="P547" i="1"/>
  <c r="P546" i="1"/>
  <c r="P545" i="1"/>
  <c r="P537" i="1"/>
  <c r="P524" i="1"/>
  <c r="P516" i="1"/>
  <c r="P515" i="1"/>
  <c r="P514" i="1"/>
  <c r="P513" i="1"/>
  <c r="P512" i="1"/>
  <c r="P510" i="1"/>
  <c r="Z505" i="1"/>
  <c r="P505" i="1"/>
  <c r="P504" i="1"/>
  <c r="P503" i="1"/>
  <c r="P502" i="1"/>
  <c r="C502" i="1"/>
  <c r="P501" i="1"/>
  <c r="C501" i="1"/>
  <c r="P488" i="1"/>
  <c r="C488" i="1"/>
  <c r="P487" i="1"/>
  <c r="P486" i="1"/>
  <c r="P484" i="1"/>
  <c r="P4" i="1"/>
  <c r="P479" i="1"/>
  <c r="P478" i="1"/>
  <c r="P477" i="1"/>
  <c r="P476" i="1"/>
  <c r="P475" i="1"/>
  <c r="P474" i="1"/>
  <c r="P473" i="1"/>
  <c r="P472" i="1"/>
  <c r="C472" i="1"/>
  <c r="P471" i="1"/>
  <c r="P470" i="1"/>
  <c r="P469" i="1"/>
  <c r="P283" i="1"/>
  <c r="P454" i="1"/>
  <c r="P453" i="1"/>
  <c r="P452" i="1"/>
  <c r="P451" i="1"/>
  <c r="P450" i="1"/>
  <c r="P449" i="1"/>
  <c r="P448" i="1"/>
  <c r="P447" i="1"/>
  <c r="P444" i="1"/>
  <c r="P440" i="1"/>
  <c r="P439" i="1"/>
  <c r="P429" i="1"/>
  <c r="P428" i="1"/>
  <c r="P417" i="1"/>
  <c r="P467" i="1"/>
  <c r="P408" i="1"/>
  <c r="P407" i="1"/>
  <c r="P405" i="1"/>
  <c r="P404" i="1"/>
  <c r="P403" i="1"/>
  <c r="P402" i="1"/>
  <c r="P384" i="1"/>
  <c r="P380" i="1"/>
  <c r="P379" i="1"/>
  <c r="P354" i="1"/>
  <c r="P348" i="1"/>
  <c r="P347" i="1"/>
  <c r="P346" i="1"/>
  <c r="C346" i="1"/>
  <c r="P335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8" i="1"/>
  <c r="P317" i="1"/>
  <c r="P314" i="1"/>
  <c r="P313" i="1"/>
  <c r="P312" i="1"/>
  <c r="P311" i="1"/>
  <c r="P309" i="1"/>
  <c r="C309" i="1"/>
  <c r="P308" i="1"/>
  <c r="P307" i="1"/>
  <c r="P306" i="1"/>
  <c r="P304" i="1"/>
  <c r="P303" i="1"/>
  <c r="P302" i="1"/>
  <c r="P291" i="1"/>
  <c r="P290" i="1"/>
  <c r="P286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8" i="1"/>
  <c r="P267" i="1"/>
  <c r="P266" i="1"/>
  <c r="C266" i="1"/>
  <c r="P265" i="1"/>
  <c r="P264" i="1"/>
  <c r="P263" i="1"/>
  <c r="P262" i="1"/>
  <c r="P261" i="1"/>
  <c r="P260" i="1"/>
  <c r="C260" i="1"/>
  <c r="P259" i="1"/>
  <c r="P258" i="1"/>
  <c r="P257" i="1"/>
  <c r="P256" i="1"/>
  <c r="P255" i="1"/>
  <c r="P251" i="1"/>
  <c r="P250" i="1"/>
  <c r="P249" i="1"/>
  <c r="P248" i="1"/>
  <c r="P247" i="1"/>
  <c r="P246" i="1"/>
  <c r="P245" i="1"/>
  <c r="P244" i="1"/>
  <c r="P242" i="1"/>
  <c r="P241" i="1"/>
  <c r="P240" i="1"/>
  <c r="P239" i="1"/>
  <c r="P238" i="1"/>
  <c r="C238" i="1"/>
  <c r="P237" i="1"/>
  <c r="C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15" i="1"/>
  <c r="P214" i="1"/>
  <c r="C214" i="1"/>
  <c r="P213" i="1"/>
  <c r="P212" i="1"/>
  <c r="C212" i="1"/>
  <c r="V210" i="1"/>
  <c r="U210" i="1" s="1"/>
  <c r="P210" i="1"/>
  <c r="W210" i="1" s="1"/>
  <c r="C210" i="1"/>
  <c r="V209" i="1"/>
  <c r="U209" i="1" s="1"/>
  <c r="P209" i="1"/>
  <c r="W209" i="1" s="1"/>
  <c r="C209" i="1"/>
  <c r="V208" i="1"/>
  <c r="U208" i="1" s="1"/>
  <c r="P208" i="1"/>
  <c r="W208" i="1" s="1"/>
  <c r="V207" i="1"/>
  <c r="U207" i="1" s="1"/>
  <c r="P207" i="1"/>
  <c r="W207" i="1" s="1"/>
  <c r="C207" i="1"/>
  <c r="V206" i="1"/>
  <c r="U206" i="1" s="1"/>
  <c r="P206" i="1"/>
  <c r="W206" i="1" s="1"/>
  <c r="V205" i="1"/>
  <c r="U205" i="1" s="1"/>
  <c r="P205" i="1"/>
  <c r="W205" i="1" s="1"/>
  <c r="P202" i="1"/>
  <c r="C202" i="1"/>
  <c r="P200" i="1"/>
  <c r="P192" i="1"/>
  <c r="P191" i="1"/>
  <c r="C191" i="1"/>
  <c r="P190" i="1"/>
  <c r="P188" i="1"/>
  <c r="P187" i="1"/>
  <c r="P186" i="1"/>
  <c r="P185" i="1"/>
  <c r="P184" i="1"/>
  <c r="P183" i="1"/>
  <c r="P182" i="1"/>
  <c r="P181" i="1"/>
  <c r="P180" i="1"/>
  <c r="P179" i="1"/>
  <c r="P178" i="1"/>
  <c r="P176" i="1"/>
  <c r="P170" i="1"/>
  <c r="P169" i="1"/>
  <c r="P168" i="1"/>
  <c r="P167" i="1"/>
  <c r="P166" i="1"/>
  <c r="P165" i="1"/>
  <c r="P164" i="1"/>
  <c r="C164" i="1"/>
  <c r="P162" i="1"/>
  <c r="P161" i="1"/>
  <c r="P156" i="1"/>
  <c r="P154" i="1"/>
  <c r="Y153" i="1"/>
  <c r="P153" i="1"/>
  <c r="C153" i="1"/>
  <c r="Y152" i="1"/>
  <c r="P152" i="1"/>
  <c r="C152" i="1"/>
  <c r="Y151" i="1"/>
  <c r="P151" i="1"/>
  <c r="C151" i="1"/>
  <c r="P150" i="1"/>
  <c r="P145" i="1"/>
  <c r="C145" i="1"/>
  <c r="P137" i="1"/>
  <c r="P136" i="1"/>
  <c r="P135" i="1"/>
  <c r="P134" i="1"/>
  <c r="P133" i="1"/>
  <c r="C133" i="1"/>
  <c r="P127" i="1"/>
  <c r="Z126" i="1"/>
  <c r="P126" i="1"/>
  <c r="P121" i="1"/>
  <c r="P120" i="1"/>
  <c r="P119" i="1"/>
  <c r="P118" i="1"/>
  <c r="P111" i="1"/>
  <c r="P108" i="1"/>
  <c r="C108" i="1"/>
  <c r="P107" i="1"/>
  <c r="P94" i="1"/>
  <c r="P81" i="1"/>
  <c r="C81" i="1"/>
  <c r="P80" i="1"/>
  <c r="C80" i="1"/>
  <c r="P79" i="1"/>
  <c r="P78" i="1"/>
  <c r="P77" i="1"/>
  <c r="P76" i="1"/>
  <c r="P75" i="1"/>
  <c r="P69" i="1"/>
  <c r="P58" i="1"/>
  <c r="P54" i="1"/>
  <c r="P53" i="1"/>
  <c r="P52" i="1"/>
  <c r="P51" i="1"/>
  <c r="P50" i="1"/>
  <c r="P49" i="1"/>
  <c r="P48" i="1"/>
  <c r="P47" i="1"/>
  <c r="P46" i="1"/>
  <c r="P45" i="1"/>
  <c r="P44" i="1"/>
  <c r="P42" i="1"/>
  <c r="P41" i="1"/>
  <c r="P40" i="1"/>
  <c r="P39" i="1"/>
  <c r="P38" i="1"/>
  <c r="P37" i="1"/>
  <c r="P36" i="1"/>
  <c r="P35" i="1"/>
  <c r="P34" i="1"/>
  <c r="P33" i="1"/>
  <c r="P32" i="1"/>
  <c r="P31" i="1"/>
  <c r="C31" i="1"/>
  <c r="P30" i="1"/>
  <c r="P29" i="1"/>
  <c r="P28" i="1"/>
  <c r="P25" i="1"/>
  <c r="P19" i="1"/>
  <c r="P18" i="1"/>
  <c r="P15" i="1"/>
  <c r="P14" i="1"/>
  <c r="P13" i="1"/>
  <c r="P12" i="1"/>
  <c r="P11" i="1"/>
  <c r="P10" i="1"/>
  <c r="P8" i="1"/>
  <c r="P7" i="1"/>
  <c r="P6" i="1"/>
  <c r="P5" i="1"/>
  <c r="W790" i="1" l="1"/>
  <c r="W744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66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2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00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75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484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682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21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730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731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739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740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47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60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65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<sst xmlns="http://schemas.openxmlformats.org/spreadsheetml/2006/main" count="8729" uniqueCount="2467">
  <si>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</si>
  <si>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</si>
  <si>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</si>
  <si>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</si>
  <si>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</si>
  <si>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</si>
  <si>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</si>
  <si>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</si>
  <si>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</si>
  <si>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</si>
  <si>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</si>
  <si>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</si>
  <si>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</si>
  <si>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</si>
  <si>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</si>
  <si>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</si>
  <si>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</si>
  <si>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</si>
  <si>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</si>
  <si>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</si>
  <si>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</si>
  <si>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</si>
  <si>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</si>
  <si>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</si>
  <si>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</si>
  <si>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</si>
  <si>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</si>
  <si>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</si>
  <si>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</si>
  <si>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</si>
  <si>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</si>
  <si>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</si>
  <si>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</si>
  <si>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</si>
  <si>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</si>
  <si>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</si>
  <si>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</si>
  <si>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</si>
  <si>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</si>
  <si>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</si>
  <si>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</si>
  <si>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</si>
  <si>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</si>
  <si>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</si>
  <si>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</si>
  <si>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</si>
  <si>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</si>
  <si>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</si>
  <si>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</si>
  <si>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</si>
  <si>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</si>
  <si>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</si>
  <si>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</si>
  <si>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</si>
  <si>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</si>
  <si>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</si>
  <si>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</si>
  <si>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</si>
  <si>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</si>
  <si>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</si>
  <si>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</si>
  <si>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</si>
  <si>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</si>
  <si>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</si>
  <si>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</si>
  <si>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</si>
  <si>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</si>
  <si>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</si>
  <si>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</si>
  <si>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</si>
  <si>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</si>
  <si>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</si>
  <si>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</si>
  <si>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</si>
  <si>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</si>
  <si>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</si>
  <si>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</si>
  <si>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</si>
  <si>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</si>
  <si>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</si>
  <si>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</si>
  <si>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</si>
  <si>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</si>
  <si>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</si>
  <si>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</si>
  <si>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</si>
  <si>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</si>
  <si>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</si>
  <si>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</si>
  <si>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</si>
  <si>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</si>
  <si>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</si>
  <si>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</si>
  <si>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</si>
  <si>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</si>
  <si>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</si>
  <si>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</si>
  <si>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</si>
  <si>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</si>
  <si>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</si>
  <si>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</si>
  <si>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</si>
  <si>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</si>
  <si>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</si>
  <si>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</si>
  <si>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</si>
  <si>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</si>
  <si>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</si>
  <si>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</si>
  <si>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</si>
  <si>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</si>
  <si>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</si>
  <si>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</si>
  <si>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</si>
  <si>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</si>
  <si>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</si>
  <si>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</si>
  <si>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</si>
  <si>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</si>
  <si>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</si>
  <si>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</si>
  <si>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</si>
  <si>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</si>
  <si>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</si>
  <si>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</si>
  <si>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</si>
  <si>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</si>
  <si>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</si>
  <si>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</si>
  <si>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</si>
  <si>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</si>
  <si>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</si>
  <si>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</si>
  <si>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</si>
  <si>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</si>
  <si>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</si>
  <si>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</si>
  <si>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</si>
  <si>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</si>
  <si>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</si>
  <si>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</si>
  <si>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</si>
  <si>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</si>
  <si>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</si>
  <si>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</si>
  <si>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</si>
  <si>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</si>
  <si>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</si>
  <si>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</si>
  <si>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</si>
  <si>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</si>
  <si>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</si>
  <si>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</si>
  <si>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</si>
  <si>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</si>
  <si>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</si>
  <si>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</si>
  <si>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</si>
  <si>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</si>
  <si>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</si>
  <si>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</si>
  <si>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</si>
  <si>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</si>
  <si>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</si>
  <si>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</si>
  <si>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</si>
  <si>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</si>
  <si>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</si>
  <si>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</si>
  <si>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</si>
  <si>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</si>
  <si>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</si>
  <si>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</si>
  <si>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</si>
  <si>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</si>
  <si>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</si>
  <si>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</si>
  <si>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</si>
  <si>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</si>
  <si>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</si>
  <si>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</si>
  <si>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</si>
  <si>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</si>
  <si>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</si>
  <si>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</si>
  <si>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</si>
  <si>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</si>
  <si>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</si>
  <si>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</si>
  <si>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</si>
  <si>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</si>
  <si>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</si>
  <si>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</si>
  <si>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</si>
  <si>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</si>
  <si>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</si>
  <si>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</si>
  <si>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</si>
  <si>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</si>
  <si>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</si>
  <si>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</si>
  <si>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</si>
  <si>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</si>
  <si>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</si>
  <si>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</si>
  <si>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</si>
  <si>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</si>
  <si>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</si>
  <si>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</si>
  <si>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</si>
  <si>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</si>
  <si>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</si>
  <si>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</si>
  <si>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</si>
  <si>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</si>
  <si>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</si>
  <si>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</si>
  <si>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</si>
  <si>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</si>
  <si>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</si>
  <si>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</si>
  <si>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</si>
  <si>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</si>
  <si>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</si>
  <si>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</si>
  <si>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</si>
  <si>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</si>
  <si>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</si>
  <si>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</si>
  <si>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</si>
  <si>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</si>
  <si>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</si>
  <si>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</si>
  <si>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</si>
  <si>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</si>
  <si>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</si>
  <si>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</si>
  <si>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</si>
  <si>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</si>
  <si>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</si>
  <si>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</si>
  <si>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</si>
  <si>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</si>
  <si>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</si>
  <si>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</si>
  <si>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</si>
  <si>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</si>
  <si>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</si>
  <si>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</si>
  <si>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</si>
  <si>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</si>
  <si>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</si>
  <si>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</si>
  <si>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</si>
  <si>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</si>
  <si>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</si>
  <si>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</si>
  <si>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</si>
  <si>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</si>
  <si>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</si>
  <si>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</si>
  <si>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</si>
  <si>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</si>
  <si>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</si>
  <si>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</si>
  <si>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</si>
  <si>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</si>
  <si>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</si>
  <si>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</si>
  <si>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</si>
  <si>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</si>
  <si>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</si>
  <si>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</si>
  <si>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</si>
  <si>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</si>
  <si>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</si>
  <si>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</si>
  <si>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</si>
  <si>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</si>
  <si>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</si>
  <si>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</si>
  <si>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</si>
  <si>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</si>
  <si>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</si>
  <si>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</si>
  <si>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</si>
  <si>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</si>
  <si>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</si>
  <si>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</si>
  <si>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</si>
  <si>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</si>
  <si>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</si>
  <si>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</si>
  <si>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</si>
  <si>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</si>
  <si>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</si>
  <si>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</si>
  <si>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</si>
  <si>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</si>
  <si>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</si>
  <si>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</si>
  <si>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</si>
  <si>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</si>
  <si>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</si>
  <si>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</si>
  <si>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</si>
  <si>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</si>
  <si>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</si>
  <si>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</si>
  <si>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</si>
  <si>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</si>
  <si>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</si>
  <si>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</si>
  <si>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</si>
  <si>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</si>
  <si>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</si>
  <si>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</si>
  <si>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</si>
  <si>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</si>
  <si>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</si>
  <si>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</si>
  <si>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</si>
  <si>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</si>
  <si>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</si>
  <si>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</si>
  <si>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</si>
  <si>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</si>
  <si>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</si>
  <si>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</si>
  <si>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</si>
  <si>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</si>
  <si>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</si>
  <si>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</si>
  <si>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</si>
  <si>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</si>
  <si>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</si>
  <si>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</si>
  <si>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</si>
  <si>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</si>
  <si>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</si>
  <si>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</si>
  <si>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</si>
  <si>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</si>
  <si>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</si>
  <si>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</si>
  <si>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</si>
  <si>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</si>
  <si>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</si>
  <si>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</si>
  <si>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</si>
  <si>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</si>
  <si>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</si>
  <si>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</si>
  <si>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</si>
  <si>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</si>
  <si>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</si>
  <si>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</si>
  <si>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</si>
  <si>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</si>
  <si>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</si>
  <si>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</si>
  <si>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</si>
  <si>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</si>
  <si>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</si>
  <si>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</si>
  <si>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</si>
  <si>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</si>
  <si>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</si>
  <si>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</si>
  <si>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</si>
  <si>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</si>
  <si>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</si>
  <si>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</si>
  <si>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</si>
  <si>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</si>
  <si>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</si>
  <si>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</si>
  <si>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</si>
  <si>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</si>
  <si>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</si>
  <si>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</si>
  <si>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</si>
  <si>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</si>
  <si>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</si>
  <si>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</si>
  <si>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</si>
  <si>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</si>
  <si>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</si>
  <si>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</si>
  <si>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</si>
  <si>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</si>
  <si>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</si>
  <si>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</si>
  <si>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</si>
  <si>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</si>
  <si>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</si>
  <si>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</si>
  <si>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</si>
  <si>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</si>
  <si>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</si>
  <si>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</si>
  <si>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</si>
  <si>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</si>
  <si>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</si>
  <si>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</si>
  <si>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</si>
  <si>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</si>
  <si>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</si>
  <si>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</si>
  <si>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</si>
  <si>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</si>
  <si>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</si>
  <si>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</si>
  <si>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</si>
  <si>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</si>
  <si>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</si>
  <si>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</si>
  <si>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</si>
  <si>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</si>
  <si>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</si>
  <si>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</si>
  <si>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</si>
  <si>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</si>
  <si>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</si>
  <si>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</si>
  <si>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</si>
  <si>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</si>
  <si>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</si>
  <si>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</si>
  <si>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</si>
  <si>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</si>
  <si>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</si>
  <si>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</si>
  <si>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</si>
  <si>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</si>
  <si>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</si>
  <si>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</si>
  <si>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</si>
  <si>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</si>
  <si>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</si>
  <si>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</si>
  <si>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</si>
  <si>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</si>
  <si>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</si>
  <si>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</si>
  <si>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</si>
  <si>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</si>
  <si>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</si>
  <si>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</si>
  <si>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</si>
  <si>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</si>
  <si>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</si>
  <si>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</si>
  <si>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</si>
  <si>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</si>
  <si>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</si>
  <si>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</si>
  <si>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</si>
  <si>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</si>
  <si>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</si>
  <si>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</si>
  <si>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</si>
  <si>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</si>
  <si>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</si>
  <si>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</si>
  <si>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</si>
  <si>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</si>
  <si>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</si>
  <si>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</si>
  <si>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</si>
  <si>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</si>
  <si>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</si>
  <si>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</si>
  <si>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</si>
  <si>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</si>
  <si>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</si>
  <si>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</si>
  <si>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</si>
  <si>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</si>
  <si>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</si>
  <si>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</si>
  <si>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</si>
  <si>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</si>
  <si>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</si>
  <si>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</si>
  <si>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</si>
  <si>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</si>
  <si>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</si>
  <si>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</si>
  <si>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</si>
  <si>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</si>
  <si>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</si>
  <si>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</si>
  <si>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</si>
  <si>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</si>
  <si>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</si>
  <si>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</si>
  <si>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</si>
  <si>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</si>
  <si>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</si>
  <si>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</si>
  <si>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</si>
  <si>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</si>
  <si>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</si>
  <si>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</si>
  <si>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</si>
  <si>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</si>
  <si>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</si>
  <si>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</si>
  <si>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</si>
  <si>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</si>
  <si>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</si>
  <si>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</si>
  <si>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</si>
  <si>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</si>
  <si>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</si>
  <si>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</si>
  <si>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</si>
  <si>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</si>
  <si>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</si>
  <si>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</si>
  <si>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</si>
  <si>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</si>
  <si>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</si>
  <si>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</si>
  <si>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</si>
  <si>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</si>
  <si>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</si>
  <si>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</si>
  <si>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</si>
  <si>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</si>
  <si>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</si>
  <si>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</si>
  <si>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</si>
  <si>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</si>
  <si>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</si>
  <si>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</si>
  <si>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</si>
  <si>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</si>
  <si>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</si>
  <si>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</si>
  <si>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</si>
  <si>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</si>
  <si>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</si>
  <si>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</si>
  <si>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</si>
  <si>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</si>
  <si>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</si>
  <si>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</si>
  <si>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</si>
  <si>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</si>
  <si>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</si>
  <si>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</si>
  <si>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</si>
  <si>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</si>
  <si>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</si>
  <si>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</si>
  <si>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</si>
  <si>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</si>
  <si>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</si>
  <si>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</si>
  <si>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</si>
  <si>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</si>
  <si>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</si>
  <si>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</si>
  <si>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</si>
  <si>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</si>
  <si>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</si>
  <si>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</si>
  <si>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</si>
  <si>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</si>
  <si>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</si>
  <si>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</si>
  <si>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</si>
  <si>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</si>
  <si>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</si>
  <si>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</si>
  <si>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</si>
  <si>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</si>
  <si>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</si>
  <si>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</si>
  <si>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</si>
  <si>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</si>
  <si>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</si>
  <si>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</si>
  <si>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</si>
  <si>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</si>
  <si>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</si>
  <si>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</si>
  <si>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</si>
  <si>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</si>
  <si>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</si>
  <si>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</si>
  <si>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</si>
  <si>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</si>
  <si>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</si>
  <si>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</si>
  <si>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</si>
  <si>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</si>
  <si>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</si>
  <si>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</si>
  <si>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</si>
  <si>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</si>
  <si>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</si>
  <si>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</si>
  <si>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</si>
  <si>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</si>
  <si>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</si>
  <si>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</si>
  <si>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</si>
  <si>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</si>
  <si>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</si>
  <si>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</si>
  <si>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</si>
  <si>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</si>
  <si>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</si>
  <si>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</si>
  <si>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</si>
  <si>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</si>
  <si>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</si>
  <si>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</si>
  <si>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</si>
  <si>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</si>
  <si>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</si>
  <si>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</si>
  <si>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</si>
  <si>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</si>
  <si>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</si>
  <si>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</si>
  <si>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</si>
  <si>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</si>
  <si>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</si>
  <si>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</si>
  <si>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</si>
  <si>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</si>
  <si>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</si>
  <si>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</si>
  <si>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</si>
  <si>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</si>
  <si>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</si>
  <si>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</si>
  <si>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</si>
  <si>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</si>
  <si>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</si>
  <si>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</si>
  <si>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</si>
  <si>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</si>
  <si>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</si>
  <si>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</si>
  <si>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</si>
  <si>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</si>
  <si>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</si>
  <si>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</si>
  <si>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</si>
  <si>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</si>
  <si>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</si>
  <si>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</si>
  <si>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</si>
  <si>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</si>
  <si>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</si>
  <si>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</si>
  <si>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</si>
  <si>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</si>
  <si>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</si>
  <si>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</si>
  <si>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</si>
  <si>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</si>
  <si>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</si>
  <si>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</si>
  <si>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</si>
  <si>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</si>
  <si>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</si>
  <si>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</si>
  <si>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</si>
  <si>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</si>
  <si>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</si>
  <si>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</si>
  <si>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</si>
  <si>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</si>
  <si>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</si>
  <si>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</si>
  <si>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</si>
  <si>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</si>
  <si>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</si>
  <si>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</si>
  <si>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</si>
  <si>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</si>
  <si>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</si>
  <si>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</si>
  <si>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</si>
  <si>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</si>
  <si>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</si>
  <si>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</si>
  <si>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</si>
  <si>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</si>
  <si>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</si>
  <si>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</si>
  <si>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</si>
  <si>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</si>
  <si>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</si>
  <si>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</si>
  <si>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</si>
  <si>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</si>
  <si>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</si>
  <si>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</si>
  <si>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</si>
  <si>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</si>
  <si>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</si>
  <si>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</si>
  <si>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</si>
  <si>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</si>
  <si>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</si>
  <si>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</si>
  <si>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</si>
  <si>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</si>
  <si>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</si>
  <si>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</si>
  <si>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</si>
  <si>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</si>
  <si>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</si>
  <si>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</si>
  <si>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</si>
  <si>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</si>
  <si>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</si>
  <si>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</si>
  <si>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</si>
  <si>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</si>
  <si>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</si>
  <si>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</si>
  <si>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</si>
  <si>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</si>
  <si>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</si>
  <si>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</si>
  <si>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</si>
  <si>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</si>
  <si>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</si>
  <si>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</si>
  <si>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</si>
  <si>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</si>
  <si>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</si>
  <si>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</si>
  <si>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</si>
  <si>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</si>
  <si>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</si>
  <si>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</si>
  <si>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</si>
  <si>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</si>
  <si>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</si>
  <si>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</si>
  <si>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</si>
  <si>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</si>
  <si>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</si>
  <si>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</si>
  <si>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</si>
  <si>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</si>
  <si>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</si>
  <si>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</si>
  <si>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</si>
  <si>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</si>
  <si>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</si>
  <si>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</si>
  <si>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</si>
  <si>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</si>
  <si>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</si>
  <si>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</si>
  <si>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</si>
  <si>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</si>
  <si>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</si>
  <si>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</si>
  <si>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</si>
  <si>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10-1A(Body)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</si>
  <si>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</si>
  <si>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</si>
  <si>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</si>
  <si>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</si>
  <si>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</si>
  <si>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</si>
  <si>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</si>
  <si>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</si>
  <si>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</si>
  <si>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</si>
  <si>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</si>
  <si>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</si>
  <si>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</si>
  <si>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</si>
  <si>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</si>
  <si>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</si>
  <si>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</si>
  <si>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</si>
  <si>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</si>
  <si>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</si>
  <si>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</si>
  <si>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</si>
  <si>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</si>
  <si>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</si>
  <si>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</si>
  <si>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</si>
  <si>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</si>
  <si>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</si>
  <si>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</si>
  <si>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</si>
  <si>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</si>
  <si>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</si>
  <si>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</si>
  <si>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</si>
  <si>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</si>
  <si>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</si>
  <si>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</si>
  <si>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</si>
  <si>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</si>
  <si>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</si>
  <si>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</si>
  <si>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</si>
  <si>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</si>
  <si>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</si>
  <si>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</si>
  <si>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</si>
  <si>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</si>
  <si>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</si>
  <si>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</si>
  <si>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</si>
  <si>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</si>
  <si>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</si>
  <si>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</si>
  <si>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</si>
  <si>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</si>
  <si>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</si>
  <si>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</si>
  <si>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</si>
  <si>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</si>
  <si>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</si>
  <si>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</si>
  <si>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</si>
  <si>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</si>
  <si>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</si>
  <si>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</si>
  <si>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</si>
  <si>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</si>
  <si>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</si>
  <si>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</si>
  <si>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</si>
  <si>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</si>
  <si>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</si>
  <si>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</si>
  <si>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</si>
  <si>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</si>
  <si>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</si>
  <si>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</si>
  <si>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</si>
  <si>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</si>
  <si>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</si>
  <si>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</si>
  <si>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</si>
  <si>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</si>
  <si>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</si>
  <si>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</si>
  <si>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</si>
  <si>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</si>
  <si>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</si>
  <si>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</si>
  <si>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</si>
  <si>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</si>
  <si>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</si>
  <si>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</si>
  <si>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</si>
  <si>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</si>
  <si>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</si>
  <si>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</si>
  <si>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</si>
  <si>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</si>
  <si>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</si>
  <si>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</si>
  <si>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</si>
  <si>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</si>
  <si>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</si>
  <si>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</si>
  <si>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</si>
  <si>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</si>
  <si>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</si>
  <si>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</si>
  <si>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</si>
  <si>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</si>
  <si>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</si>
  <si>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</si>
  <si>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</si>
  <si>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</si>
  <si>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</si>
  <si>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</si>
  <si>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</si>
  <si>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</si>
  <si>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</si>
  <si>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</si>
  <si>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</si>
  <si>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</si>
  <si>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</si>
  <si>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</si>
  <si>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</si>
  <si>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</si>
  <si>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</si>
  <si>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</si>
  <si>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</si>
  <si>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</si>
  <si>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</si>
  <si>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</si>
  <si>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</si>
  <si>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</si>
  <si>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</si>
  <si>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</si>
  <si>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</si>
  <si>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</si>
  <si>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</si>
  <si>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</si>
  <si>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</si>
  <si>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</si>
  <si>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</si>
  <si>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</si>
  <si>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</si>
  <si>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</si>
  <si>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</si>
  <si>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</si>
  <si>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</si>
  <si>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</si>
  <si>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</si>
  <si>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</si>
  <si>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</si>
  <si>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</si>
  <si>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</si>
  <si>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</si>
  <si>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</si>
  <si>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</si>
  <si>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</si>
  <si>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</si>
  <si>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</si>
  <si>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</si>
  <si>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</si>
  <si>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</si>
  <si>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</si>
  <si>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</si>
  <si>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</si>
  <si>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</si>
  <si>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</si>
  <si>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</si>
  <si>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</si>
  <si>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</si>
  <si>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</si>
  <si>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</si>
  <si>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</si>
  <si>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</si>
  <si>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</si>
  <si>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</si>
  <si>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</si>
  <si>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</si>
  <si>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</si>
  <si>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</si>
  <si>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</si>
  <si>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</si>
  <si>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</si>
  <si>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</si>
  <si>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</si>
  <si>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</si>
  <si>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</si>
  <si>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</si>
  <si>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</si>
  <si>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</si>
  <si>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</si>
  <si>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</si>
  <si>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</si>
  <si>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</si>
  <si>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</si>
  <si>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</si>
  <si>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</si>
  <si>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</si>
  <si>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</si>
  <si>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</si>
  <si>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</si>
  <si>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</si>
  <si>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</si>
  <si>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</si>
  <si>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</si>
  <si>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</si>
  <si>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</si>
  <si>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</si>
  <si>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</si>
  <si>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</si>
  <si>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</si>
  <si>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</si>
  <si>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</si>
  <si>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</si>
  <si>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</si>
  <si>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</si>
  <si>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</si>
  <si>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</si>
  <si>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</si>
  <si>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</si>
  <si>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</si>
  <si>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</si>
  <si>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</si>
  <si>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</si>
  <si>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</si>
  <si>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</si>
  <si>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</si>
  <si>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</si>
  <si>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</si>
  <si>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</si>
  <si>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</si>
  <si>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</si>
  <si>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</si>
  <si>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</si>
  <si>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</si>
  <si>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</si>
  <si>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</si>
  <si>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</si>
  <si>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</si>
  <si>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</si>
  <si>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</si>
  <si>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</si>
  <si>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</si>
  <si>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</si>
  <si>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</si>
  <si>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</si>
  <si>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</si>
  <si>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</si>
  <si>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</si>
  <si>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</si>
  <si>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</si>
  <si>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</si>
  <si>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</si>
  <si>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</si>
  <si>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</si>
  <si>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</si>
  <si>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</si>
  <si>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</si>
  <si>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</si>
  <si>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</si>
  <si>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</si>
  <si>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</si>
  <si>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</si>
  <si>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</si>
  <si>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</si>
  <si>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</si>
  <si>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</si>
  <si>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</si>
  <si>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</si>
  <si>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</si>
  <si>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</si>
  <si>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</si>
  <si>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</si>
  <si>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</si>
  <si>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</si>
  <si>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</si>
  <si>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</si>
  <si>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</si>
  <si>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</si>
  <si>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</si>
  <si>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</si>
  <si>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</si>
  <si>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</si>
  <si>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</si>
  <si>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</si>
  <si>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</si>
  <si>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</si>
  <si>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</si>
  <si>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</si>
  <si>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</si>
  <si>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</si>
  <si>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</si>
  <si>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</si>
  <si>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</si>
  <si>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</si>
  <si>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</si>
  <si>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</si>
  <si>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</si>
  <si>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</si>
  <si>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</si>
  <si>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</si>
  <si>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</si>
  <si>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</si>
  <si>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</si>
  <si>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</si>
  <si>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</si>
  <si>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</si>
  <si>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</si>
  <si>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</si>
  <si>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</si>
  <si>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</si>
  <si>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</si>
  <si>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</si>
  <si>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</si>
  <si>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</si>
  <si>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</si>
  <si>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</si>
  <si>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</si>
  <si>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</si>
  <si>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</si>
  <si>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</si>
  <si>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</si>
  <si>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</si>
  <si>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</si>
  <si>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</si>
  <si>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</si>
  <si>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</si>
  <si>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</si>
  <si>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</si>
  <si>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</si>
  <si>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</si>
  <si>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</si>
  <si>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</si>
  <si>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</si>
  <si>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</si>
  <si>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</si>
  <si>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</si>
  <si>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</si>
  <si>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</si>
  <si>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</si>
  <si>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</si>
  <si>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</si>
  <si>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</si>
  <si>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</si>
  <si>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</si>
  <si>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</si>
  <si>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</si>
  <si>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</si>
  <si>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</si>
  <si>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</si>
  <si>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</si>
  <si>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</si>
  <si>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</si>
  <si>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</si>
  <si>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</si>
  <si>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</si>
  <si>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</si>
  <si>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</si>
  <si>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</si>
  <si>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</si>
  <si>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</si>
  <si>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</si>
  <si>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</si>
  <si>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</si>
  <si>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</si>
  <si>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</si>
  <si>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</si>
  <si>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</si>
  <si>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</si>
  <si>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</si>
  <si>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</si>
  <si>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</si>
  <si>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</si>
  <si>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</si>
  <si>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</si>
  <si>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</si>
  <si>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</si>
  <si>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</si>
  <si>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</si>
  <si>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</si>
  <si>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</si>
  <si>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</si>
  <si>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</si>
  <si>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</si>
  <si>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</si>
  <si>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</si>
  <si>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</si>
  <si>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</si>
  <si>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</si>
  <si>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</si>
  <si>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</si>
  <si>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</si>
  <si>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</si>
  <si>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</si>
  <si>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</si>
  <si>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</si>
  <si>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</si>
  <si>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</si>
  <si>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</si>
  <si>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</si>
  <si>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</si>
  <si>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</si>
  <si>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</si>
  <si>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</si>
  <si>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</si>
  <si>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</si>
  <si>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</si>
  <si>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</si>
  <si>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</si>
  <si>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</si>
  <si>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</si>
  <si>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</si>
  <si>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</si>
  <si>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</si>
  <si>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</si>
  <si>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</si>
  <si>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</si>
  <si>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</si>
  <si>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</si>
  <si>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</si>
  <si>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</si>
  <si>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</si>
  <si>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</si>
  <si>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</si>
  <si>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</si>
  <si>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</si>
  <si>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</si>
  <si>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</si>
  <si>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</si>
  <si>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</si>
  <si>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</si>
  <si>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</si>
  <si>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</si>
  <si>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</si>
  <si>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</si>
  <si>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</si>
  <si>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</si>
  <si>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</si>
  <si>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</si>
  <si>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</si>
  <si>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</si>
  <si>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</si>
  <si>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</si>
  <si>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</si>
  <si>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</si>
  <si>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</si>
  <si>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</si>
  <si>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</si>
  <si>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</si>
  <si>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</si>
  <si>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</si>
  <si>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</si>
  <si>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</si>
  <si>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</si>
  <si>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</si>
  <si>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</si>
  <si>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</si>
  <si>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</si>
  <si>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</si>
  <si>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</si>
  <si>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</si>
  <si>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</si>
  <si>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</si>
  <si>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</si>
  <si>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</si>
  <si>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</si>
  <si>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</si>
  <si>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</si>
  <si>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</si>
  <si>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</si>
  <si>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</si>
  <si>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</si>
  <si>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</si>
  <si>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</si>
  <si>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</si>
  <si>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</si>
  <si>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</si>
  <si>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</si>
  <si>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</si>
  <si>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</si>
  <si>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</si>
  <si>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</si>
  <si>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</si>
  <si>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</si>
  <si>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</si>
  <si>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</si>
  <si>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</si>
  <si>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</si>
  <si>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</si>
  <si>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</si>
  <si>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</si>
  <si>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</si>
  <si>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</si>
  <si>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</si>
  <si>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</si>
  <si>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</si>
  <si>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</si>
  <si>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</si>
  <si>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</si>
  <si>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</si>
  <si>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</si>
  <si>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</si>
  <si>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</si>
  <si>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</si>
  <si>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</si>
  <si>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</si>
  <si>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</si>
  <si>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</si>
  <si>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</si>
  <si>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</si>
  <si>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</si>
  <si>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</si>
  <si>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</si>
  <si>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</si>
  <si>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</si>
  <si>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</si>
  <si>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</si>
  <si>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</si>
  <si>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</si>
  <si>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</si>
  <si>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</si>
  <si>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</si>
  <si>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</si>
  <si>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</si>
  <si>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</si>
  <si>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</si>
  <si>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</si>
  <si>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</si>
  <si>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</si>
  <si>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</si>
  <si>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</si>
  <si>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</si>
  <si>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</si>
  <si>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</si>
  <si>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</si>
  <si>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</si>
  <si>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</si>
  <si>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</si>
  <si>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</si>
  <si>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</si>
  <si>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</si>
  <si>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</si>
  <si>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</si>
  <si>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</si>
  <si>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</si>
  <si>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</si>
  <si>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</si>
  <si>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</si>
  <si>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</si>
  <si>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</si>
  <si>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</si>
  <si>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</si>
  <si>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</si>
  <si>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</si>
  <si>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</si>
  <si>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</si>
  <si>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</si>
  <si>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</si>
  <si>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</si>
  <si>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</si>
  <si>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</si>
  <si>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</si>
  <si>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</si>
  <si>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</si>
  <si>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</si>
  <si>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</si>
  <si>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</si>
  <si>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</si>
  <si>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</si>
  <si>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</si>
  <si>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</si>
  <si>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</si>
  <si>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</si>
  <si>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</si>
  <si>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</si>
  <si>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</si>
  <si>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</si>
  <si>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</si>
  <si>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</si>
  <si>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</si>
  <si>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</si>
  <si>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</si>
  <si>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</si>
  <si>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</si>
  <si>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</si>
  <si>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</si>
  <si>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</si>
  <si>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</si>
  <si>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</si>
  <si>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</si>
  <si>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</si>
  <si>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</si>
  <si>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</si>
  <si>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</si>
  <si>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</si>
  <si>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</si>
  <si>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</si>
  <si>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</si>
  <si>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</si>
  <si>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</si>
  <si>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</si>
  <si>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</si>
  <si>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</si>
  <si>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</si>
  <si>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</si>
  <si>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</si>
  <si>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</si>
  <si>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</si>
  <si>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</si>
  <si>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</si>
  <si>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</si>
  <si>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</si>
  <si>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</si>
  <si>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</si>
  <si>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</si>
  <si>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</si>
  <si>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</si>
  <si>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</si>
  <si>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</si>
  <si>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フリーズドライ味噌汁 具沢山</t>
  </si>
  <si>
    <t>40pc/10box/CTN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</si>
  <si>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</si>
  <si>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</si>
  <si>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</si>
  <si>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</si>
  <si>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</si>
  <si>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</si>
  <si>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</si>
  <si>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</si>
  <si>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</si>
  <si>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</si>
  <si>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</si>
  <si>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</si>
  <si>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</si>
  <si>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</si>
  <si>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</si>
  <si>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</si>
  <si>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</si>
  <si>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</si>
  <si>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</si>
  <si>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</si>
  <si>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</si>
  <si>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</si>
  <si>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</si>
  <si>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</si>
  <si>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</si>
  <si>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</si>
  <si>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</si>
  <si>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</si>
  <si>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</si>
  <si>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</si>
  <si>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</si>
  <si>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</si>
  <si>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</si>
  <si>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</si>
  <si>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</si>
  <si>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</si>
  <si>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</si>
  <si>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</si>
  <si>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</si>
  <si>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</si>
  <si>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</si>
  <si>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</si>
  <si>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</si>
  <si>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</si>
  <si>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</si>
  <si>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</si>
  <si>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</si>
  <si>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</si>
  <si>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</si>
  <si>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</si>
  <si>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</si>
  <si>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</si>
  <si>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</si>
  <si>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</si>
  <si>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</si>
  <si>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</si>
  <si>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</si>
  <si>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</si>
  <si>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</si>
  <si>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</si>
  <si>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</si>
  <si>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</si>
  <si>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</si>
  <si>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</si>
  <si>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</si>
  <si>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</si>
  <si>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</si>
  <si>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</si>
  <si>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</si>
  <si>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</si>
  <si>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</si>
  <si>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</si>
  <si>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</si>
  <si>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</si>
  <si>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</si>
  <si>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</si>
  <si>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</si>
  <si>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</si>
  <si>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</si>
  <si>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</si>
  <si>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</si>
  <si>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</si>
  <si>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</si>
  <si>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</si>
  <si>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</si>
  <si>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</si>
  <si>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</si>
  <si>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</si>
  <si>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</si>
  <si>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</si>
  <si>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</si>
  <si>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</si>
  <si>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</si>
  <si>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</si>
  <si>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</si>
  <si>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</si>
  <si>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</si>
  <si>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</si>
  <si>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</si>
  <si>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</si>
  <si>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</si>
  <si>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</si>
  <si>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</si>
  <si>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</si>
  <si>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</si>
  <si>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</si>
  <si>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</si>
  <si>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</si>
  <si>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</si>
  <si>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</si>
  <si>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</si>
  <si>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</si>
  <si>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</si>
  <si>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</si>
  <si>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VNR10</t>
  </si>
  <si>
    <t>ベトナム米 (プレナス用）白袋白糸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</si>
  <si>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</si>
  <si>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</si>
  <si>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</si>
  <si>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</si>
  <si>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</si>
  <si>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</si>
  <si>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</si>
  <si>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</si>
  <si>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</si>
  <si>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</si>
  <si>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</si>
  <si>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</si>
  <si>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</si>
  <si>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>JT701</t>
  </si>
  <si>
    <t xml:space="preserve">Galvanised Steel Mesh 39.8ｘ19.8cm </t>
  </si>
  <si>
    <t>スクエア網200個　39.8ｘ19.8cm （198×398mm）05P30SEP17</t>
  </si>
  <si>
    <t>BBQ Galvanised Mesh Dome (Thick)28cm x 0.17cm</t>
  </si>
  <si>
    <t>金網　ドーム型（太網）28㎝ 高さ17mm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</si>
  <si>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</si>
  <si>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</si>
  <si>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</si>
  <si>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</si>
  <si>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</si>
  <si>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</si>
  <si>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</si>
  <si>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</si>
  <si>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</si>
  <si>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</si>
  <si>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</si>
  <si>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</si>
  <si>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</si>
  <si>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</si>
  <si>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</si>
  <si>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</si>
  <si>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</si>
  <si>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</si>
  <si>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</si>
  <si>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</si>
  <si>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</si>
  <si>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</si>
  <si>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</si>
  <si>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</si>
  <si>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</si>
  <si>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</si>
  <si>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</si>
  <si>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</si>
  <si>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</si>
  <si>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</si>
  <si>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</si>
  <si>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</si>
  <si>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</si>
  <si>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</si>
  <si>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</si>
  <si>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</si>
  <si>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</si>
  <si>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</si>
  <si>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</si>
  <si>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</si>
  <si>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</si>
  <si>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</si>
  <si>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</si>
  <si>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</si>
  <si>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</si>
  <si>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</si>
  <si>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</si>
  <si>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</si>
  <si>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</si>
  <si>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</si>
  <si>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</si>
  <si>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Vietnam Rice (PLENUS) White Bag Thread NOV18</t>
  </si>
  <si>
    <t>Vietnam Rice (PLENUS) White Bag Thread NOV19</t>
  </si>
  <si>
    <t>Vietnam Rice (PLENUS) White Bag Thread NOV20</t>
  </si>
  <si>
    <t>Vietnam Rice (PLENUS) White Bag Thread NOV21</t>
  </si>
  <si>
    <t>Vietnam Rice (PLENUS) White Bag Thread NOV22</t>
  </si>
  <si>
    <t>Vietnam Rice (PLENUS) White Bag Thread NOV23</t>
  </si>
  <si>
    <t>Sodium bicarbonate 25kg</t>
  </si>
  <si>
    <t>LOT:1018-2 (use OLD LOT first)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</si>
  <si>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</si>
  <si>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</si>
  <si>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</si>
  <si>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</si>
  <si>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</si>
  <si>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</si>
  <si>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</si>
  <si>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</si>
  <si>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</si>
  <si>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</si>
  <si>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</si>
  <si>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</si>
  <si>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</si>
  <si>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</si>
  <si>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</si>
  <si>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</si>
  <si>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</si>
  <si>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</si>
  <si>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</si>
  <si>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</si>
  <si>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</si>
  <si>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</si>
  <si>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</si>
  <si>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</si>
  <si>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</si>
  <si>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</si>
  <si>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</si>
  <si>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</si>
  <si>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</si>
  <si>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</si>
  <si>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</si>
  <si>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</si>
  <si>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</si>
  <si>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</si>
  <si>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</si>
  <si>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</si>
  <si>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</si>
  <si>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</si>
  <si>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</si>
  <si>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</si>
  <si>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</si>
  <si>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</si>
  <si>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</si>
  <si>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</si>
  <si>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</si>
  <si>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</si>
  <si>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</si>
  <si>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</si>
  <si>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</si>
  <si>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</si>
  <si>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</si>
  <si>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</si>
  <si>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</si>
  <si>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</si>
  <si>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</si>
  <si>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</si>
  <si>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</si>
  <si>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</si>
  <si>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</si>
  <si>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</si>
  <si>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</si>
  <si>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</si>
  <si>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</si>
  <si>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</si>
  <si>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</si>
  <si>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</si>
  <si>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</si>
  <si>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</si>
  <si>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</si>
  <si>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</si>
  <si>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</si>
  <si>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</si>
  <si>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</si>
  <si>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</si>
  <si>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</si>
  <si>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</si>
  <si>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</si>
  <si>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</si>
  <si>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</si>
  <si>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</si>
  <si>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</si>
  <si>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</si>
  <si>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</si>
  <si>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</si>
  <si>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</si>
  <si>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</si>
  <si>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</si>
  <si>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</si>
  <si>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</si>
  <si>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</si>
  <si>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</si>
  <si>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</si>
  <si>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</si>
  <si>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</si>
  <si>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</si>
  <si>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</si>
  <si>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</si>
  <si>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</si>
  <si>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</si>
  <si>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</si>
  <si>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</si>
  <si>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</si>
  <si>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</si>
  <si>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</si>
  <si>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</si>
  <si>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</si>
  <si>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</si>
  <si>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</si>
  <si>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</si>
  <si>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</si>
  <si>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</si>
  <si>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</si>
  <si>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</si>
  <si>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</si>
  <si>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</si>
  <si>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</si>
  <si>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</si>
  <si>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</si>
  <si>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</si>
  <si>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</si>
  <si>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</si>
  <si>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</si>
  <si>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</si>
  <si>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</si>
  <si>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</si>
  <si>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</si>
  <si>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</si>
  <si>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</si>
  <si>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</si>
  <si>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</si>
  <si>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</si>
  <si>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</si>
  <si>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</si>
  <si>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</si>
  <si>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</si>
  <si>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</si>
  <si>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</si>
  <si>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</si>
  <si>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</si>
  <si>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</si>
  <si>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</si>
  <si>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</si>
  <si>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</si>
  <si>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</si>
  <si>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</si>
  <si>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</si>
  <si>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</si>
  <si>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</si>
  <si>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</si>
  <si>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</si>
  <si>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</si>
  <si>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</si>
  <si>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</si>
  <si>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B1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</si>
  <si>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</si>
  <si>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</si>
  <si>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</si>
  <si>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</si>
  <si>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</si>
  <si>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</si>
  <si>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</si>
  <si>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</si>
  <si>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</si>
  <si>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</si>
  <si>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</si>
  <si>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</si>
  <si>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</si>
  <si>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</si>
  <si>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</si>
  <si>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</si>
  <si>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</si>
  <si>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</si>
  <si>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</si>
  <si>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</si>
  <si>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</si>
  <si>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</si>
  <si>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</si>
  <si>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</si>
  <si>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</si>
  <si>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</si>
  <si>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</si>
  <si>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</si>
  <si>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</si>
  <si>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</si>
  <si>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</si>
  <si>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</si>
  <si>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</si>
  <si>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</si>
  <si>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</si>
  <si>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</si>
  <si>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</si>
  <si>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</si>
  <si>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</si>
  <si>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</si>
  <si>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</si>
  <si>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</si>
  <si>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</si>
  <si>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</si>
  <si>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</si>
  <si>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</si>
  <si>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</si>
  <si>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</si>
  <si>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</si>
  <si>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</si>
  <si>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</si>
  <si>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</si>
  <si>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</si>
  <si>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</si>
  <si>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</si>
  <si>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</si>
  <si>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</si>
  <si>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</si>
  <si>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</si>
  <si>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</si>
  <si>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</si>
  <si>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</si>
  <si>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</si>
  <si>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</si>
  <si>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</si>
  <si>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</si>
  <si>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</si>
  <si>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</si>
  <si>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</si>
  <si>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</si>
  <si>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</si>
  <si>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</si>
  <si>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</si>
  <si>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</si>
  <si>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</si>
  <si>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</si>
  <si>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</si>
  <si>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</si>
  <si>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</si>
  <si>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</si>
  <si>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</si>
  <si>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</si>
  <si>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</si>
  <si>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Pickled Radish Strips (Red) AKATAKUWAN APR12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</si>
  <si>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</si>
  <si>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</si>
  <si>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</si>
  <si>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</si>
  <si>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</si>
  <si>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</si>
  <si>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</si>
  <si>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</si>
  <si>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</si>
  <si>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</si>
  <si>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</si>
  <si>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</si>
  <si>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</si>
  <si>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</si>
  <si>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</si>
  <si>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</si>
  <si>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</si>
  <si>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</si>
  <si>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</si>
  <si>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</si>
  <si>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</si>
  <si>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</si>
  <si>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</si>
  <si>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</si>
  <si>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</si>
  <si>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</si>
  <si>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</si>
  <si>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</si>
  <si>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</si>
  <si>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</si>
  <si>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</si>
  <si>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</si>
  <si>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</si>
  <si>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</si>
  <si>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</si>
  <si>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</si>
  <si>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</si>
  <si>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</si>
  <si>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</si>
  <si>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</si>
  <si>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</si>
  <si>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</si>
  <si>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</si>
  <si>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</si>
  <si>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</si>
  <si>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</si>
  <si>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</si>
  <si>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</si>
  <si>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</si>
  <si>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</si>
  <si>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</si>
  <si>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</si>
  <si>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</si>
  <si>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</si>
  <si>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</si>
  <si>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</si>
  <si>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</si>
  <si>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</si>
  <si>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</si>
  <si>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</si>
  <si>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</si>
  <si>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</si>
  <si>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</si>
  <si>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</si>
  <si>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</si>
  <si>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</si>
  <si>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</si>
  <si>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</si>
  <si>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</si>
  <si>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</si>
  <si>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</si>
  <si>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</si>
  <si>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</si>
  <si>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</si>
  <si>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</si>
  <si>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</si>
  <si>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</si>
  <si>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</si>
  <si>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</si>
  <si>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</si>
  <si>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</si>
  <si>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</si>
  <si>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</si>
  <si>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</si>
  <si>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</si>
  <si>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</si>
  <si>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</si>
  <si>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</si>
  <si>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</si>
  <si>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</si>
  <si>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</si>
  <si>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</si>
  <si>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</si>
  <si>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</si>
  <si>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</si>
  <si>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</si>
  <si>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</si>
  <si>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</si>
  <si>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</si>
  <si>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</si>
  <si>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</si>
  <si>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</si>
  <si>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</si>
  <si>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</si>
  <si>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</si>
  <si>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</si>
  <si>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</si>
  <si>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</si>
  <si>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</si>
  <si>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</si>
  <si>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</si>
  <si>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</si>
  <si>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</si>
  <si>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</si>
  <si>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</si>
  <si>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</si>
  <si>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</si>
  <si>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</si>
  <si>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</si>
  <si>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</si>
  <si>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</si>
  <si>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</si>
  <si>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</si>
  <si>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</si>
  <si>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</si>
  <si>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</si>
  <si>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</si>
  <si>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</si>
  <si>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</si>
  <si>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</si>
  <si>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</si>
  <si>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</si>
  <si>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</si>
  <si>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</si>
  <si>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</si>
  <si>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</si>
  <si>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</si>
  <si>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</si>
  <si>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</si>
  <si>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</si>
  <si>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</si>
  <si>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</si>
  <si>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</si>
  <si>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</si>
  <si>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</si>
  <si>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</si>
  <si>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</si>
  <si>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</si>
  <si>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</si>
  <si>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</si>
  <si>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</si>
  <si>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</si>
  <si>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</si>
  <si>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</si>
  <si>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</si>
  <si>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</si>
  <si>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</si>
  <si>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</si>
  <si>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</si>
  <si>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</si>
  <si>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</si>
  <si>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</si>
  <si>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</si>
  <si>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</si>
  <si>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</si>
  <si>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</si>
  <si>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</si>
  <si>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</si>
  <si>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</si>
  <si>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</si>
  <si>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</si>
  <si>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</si>
  <si>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</si>
  <si>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</si>
  <si>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</si>
  <si>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</si>
  <si>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</si>
  <si>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</si>
  <si>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</si>
  <si>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</si>
  <si>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</si>
  <si>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</si>
  <si>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</si>
  <si>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</si>
  <si>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</si>
  <si>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</si>
  <si>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</si>
  <si>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</si>
  <si>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</si>
  <si>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</si>
  <si>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</si>
  <si>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</si>
  <si>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</si>
  <si>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</si>
  <si>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</si>
  <si>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</si>
  <si>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</si>
  <si>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</si>
  <si>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</si>
  <si>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</si>
  <si>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</si>
  <si>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</si>
  <si>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</si>
  <si>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</si>
  <si>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</si>
  <si>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</si>
  <si>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</si>
  <si>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</si>
  <si>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</si>
  <si>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</si>
  <si>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</si>
  <si>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</si>
  <si>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</si>
  <si>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</si>
  <si>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</si>
  <si>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</si>
  <si>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</si>
  <si>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</si>
  <si>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</si>
  <si>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</si>
  <si>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</si>
  <si>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</si>
  <si>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</si>
  <si>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</si>
  <si>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</si>
  <si>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</si>
  <si>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</si>
  <si>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</si>
  <si>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</si>
  <si>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</si>
  <si>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</si>
  <si>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</si>
  <si>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</si>
  <si>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3</t>
  </si>
  <si>
    <t>Vietnam Rice Blue (ST) JUL 5</t>
  </si>
  <si>
    <t>Vietnam Rice Blue (ST) JUL 6</t>
  </si>
  <si>
    <t>Vietnam Rice Blue (ST) JUL 19</t>
  </si>
  <si>
    <t>Vietnam Rice Blue (ST) JUL 20</t>
  </si>
  <si>
    <t>Vietnam Rice Yellow (TF) JUL 7</t>
  </si>
  <si>
    <t>(LOT # 0619-1)</t>
  </si>
  <si>
    <t>03/06/2020</t>
  </si>
  <si>
    <t>Vietnam Rice Yellow (TF) JUL 9</t>
  </si>
  <si>
    <t>Vietnam Rice Yellow (TF) JUL 10</t>
  </si>
  <si>
    <t>Vietnam Rice Yellow (TF) JUL 13</t>
  </si>
  <si>
    <t>Vietnam Rice Yellow (TF) JUL 16</t>
  </si>
  <si>
    <t>Vietnam Rice Yellow (TF) JUL 18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</si>
  <si>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</si>
  <si>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</si>
  <si>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</si>
  <si>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</si>
  <si>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</si>
  <si>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</si>
  <si>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</si>
  <si>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</si>
  <si>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</si>
  <si>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</si>
  <si>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</si>
  <si>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</si>
  <si>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</si>
  <si>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</si>
  <si>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</si>
  <si>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</si>
  <si>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</si>
  <si>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</si>
  <si>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</si>
  <si>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</si>
  <si>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</si>
  <si>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</si>
  <si>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</si>
  <si>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</si>
  <si>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</si>
  <si>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</si>
  <si>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</si>
  <si>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</si>
  <si>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</si>
  <si>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</si>
  <si>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</si>
  <si>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</si>
  <si>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</si>
  <si>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</si>
  <si>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</si>
  <si>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</si>
  <si>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</si>
  <si>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30/09/2020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</si>
  <si>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</si>
  <si>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</si>
  <si>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</si>
  <si>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</si>
  <si>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</si>
  <si>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</si>
  <si>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</si>
  <si>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</si>
  <si>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</si>
  <si>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</si>
  <si>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</si>
  <si>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</si>
  <si>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</si>
  <si>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</si>
  <si>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</si>
  <si>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</si>
  <si>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</si>
  <si>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on 11/07/2019</t>
  </si>
  <si>
    <t>found 26/06/2019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</si>
  <si>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</si>
  <si>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</si>
  <si>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</si>
  <si>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</si>
  <si>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</si>
  <si>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</si>
  <si>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</si>
  <si>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</si>
  <si>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</si>
  <si>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</si>
  <si>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F102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</si>
  <si>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</si>
  <si>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</si>
  <si>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</si>
  <si>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</si>
  <si>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</si>
  <si>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</si>
  <si>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</si>
  <si>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</si>
  <si>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</si>
  <si>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</si>
  <si>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</si>
  <si>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</si>
  <si>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</si>
  <si>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</si>
  <si>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Big size (-2PC)</t>
  </si>
  <si>
    <t>USE TF Only  LABEL</t>
  </si>
  <si>
    <t>(Repacked)</t>
  </si>
  <si>
    <t>①F51</t>
  </si>
  <si>
    <t>UKF06Arepack</t>
  </si>
  <si>
    <t>5btl only</t>
  </si>
  <si>
    <t>210PC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</si>
  <si>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</si>
  <si>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</si>
  <si>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</si>
  <si>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</si>
  <si>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</si>
  <si>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</si>
  <si>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</si>
  <si>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Unagi Tare (Vegetarian) JUNE 5</t>
  </si>
  <si>
    <t>B1000 (Rec)</t>
  </si>
  <si>
    <t>BBC07a</t>
  </si>
  <si>
    <t>Sugar 25kg Bundaberg</t>
  </si>
  <si>
    <t>GCA01e</t>
  </si>
  <si>
    <t>Tonkotsu Sauce Ariake 1.8L</t>
  </si>
  <si>
    <t>とんこつスープ 1.8L</t>
  </si>
  <si>
    <t>1.8L x 6/CTN</t>
  </si>
  <si>
    <t>DW10a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</si>
  <si>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</si>
  <si>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</si>
  <si>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</si>
  <si>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</si>
  <si>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</si>
  <si>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</si>
  <si>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</si>
  <si>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</si>
  <si>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</si>
  <si>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</si>
  <si>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Freeze-dry Miso Soup10.5g June3</t>
  </si>
  <si>
    <t>GCA06</t>
  </si>
  <si>
    <t>Tapioka Starch Era 500g</t>
  </si>
  <si>
    <t>500g x 24/ctn</t>
  </si>
  <si>
    <t>SM03Ab</t>
  </si>
  <si>
    <t>1BAG DAMAGED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</si>
  <si>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</si>
  <si>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</si>
  <si>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</si>
  <si>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</si>
  <si>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</si>
  <si>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</si>
  <si>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</si>
  <si>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</si>
  <si>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</si>
  <si>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Par09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</si>
  <si>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</si>
  <si>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</si>
  <si>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</si>
  <si>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</si>
  <si>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</si>
  <si>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</si>
  <si>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</si>
  <si>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</si>
  <si>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ctn</t>
    <phoneticPr fontId="21"/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</si>
  <si>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</si>
  <si>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</si>
  <si>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</si>
  <si>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</si>
  <si>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</si>
  <si>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</si>
  <si>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</si>
  <si>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</si>
  <si>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</si>
  <si>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</si>
  <si>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</si>
  <si>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</si>
  <si>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</si>
  <si>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</si>
  <si>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</si>
  <si>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</si>
  <si>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</si>
  <si>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</si>
  <si>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</si>
  <si>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</si>
  <si>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</si>
  <si>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</si>
  <si>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</si>
  <si>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AUIS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</si>
  <si>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</si>
  <si>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</si>
  <si>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</si>
  <si>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</si>
  <si>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</si>
  <si>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</si>
  <si>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</si>
  <si>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</si>
  <si>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</si>
  <si>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</si>
  <si>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</si>
  <si>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</si>
  <si>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</si>
  <si>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</si>
  <si>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</si>
  <si>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</si>
  <si>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</si>
  <si>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</si>
  <si>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 xml:space="preserve">Freeze-dry Miso Soup10.5g 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</si>
  <si>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</si>
  <si>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</si>
  <si>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</si>
  <si>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</si>
  <si>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</si>
  <si>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</si>
  <si>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</si>
  <si>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Yamasa Soy Sauce 18L JUNE 15</t>
  </si>
  <si>
    <t>Pure Vegetable Oil BIB JULY 21</t>
  </si>
  <si>
    <t>missing 05/08/2019</t>
  </si>
  <si>
    <t>20PC</t>
  </si>
  <si>
    <t>8PC</t>
  </si>
  <si>
    <t>Teriyaki Sauce 1.5L (Orange cup)</t>
  </si>
  <si>
    <t>6btl/ctn</t>
  </si>
  <si>
    <t>TF47</t>
  </si>
  <si>
    <t>WAITING FOR INVOICE</t>
  </si>
  <si>
    <t>200pc/pack  x 4pack/inner box x 4 ib/box</t>
  </si>
  <si>
    <t>330 x 235 x 220  25pc/ctn</t>
  </si>
  <si>
    <t>90g x 50pack/ctn</t>
  </si>
  <si>
    <t>F68</t>
  </si>
  <si>
    <t>Uchibori Grain Vinger 20L</t>
  </si>
  <si>
    <t>20L/CTN</t>
  </si>
  <si>
    <t>JP10</t>
  </si>
  <si>
    <t>Butan Gas 220g</t>
  </si>
  <si>
    <t>IMV03</t>
  </si>
  <si>
    <t>CHI</t>
  </si>
  <si>
    <t>Pick up Date: 12/08/2019-14/08/2019</t>
  </si>
  <si>
    <t>10/08/2019</t>
  </si>
  <si>
    <t>PK-4</t>
  </si>
  <si>
    <t>PK-2</t>
  </si>
  <si>
    <t>TF-8</t>
  </si>
  <si>
    <t>TF-6 (0.5ctn)</t>
  </si>
  <si>
    <t>TF-3</t>
  </si>
  <si>
    <t>TF-6</t>
  </si>
  <si>
    <t>TF-2　Yayoi-11</t>
  </si>
  <si>
    <t>Yayoi-2</t>
  </si>
  <si>
    <t>TF-9</t>
  </si>
  <si>
    <t>Kono-4</t>
  </si>
  <si>
    <t>Kono-7</t>
  </si>
  <si>
    <t>Kono-1</t>
  </si>
  <si>
    <t>TF-4　Kono-1</t>
  </si>
  <si>
    <t>JT-10pack Label</t>
  </si>
  <si>
    <t>For GG-8</t>
  </si>
  <si>
    <t>For GG-3</t>
  </si>
  <si>
    <t>For GG-1</t>
  </si>
  <si>
    <t>TF-2　NFB-4</t>
  </si>
  <si>
    <t>For STNSW-16</t>
  </si>
  <si>
    <t>For STNSW-18</t>
  </si>
  <si>
    <t>For STNSW-1</t>
  </si>
  <si>
    <t>For STNSW-11</t>
  </si>
  <si>
    <t>For STNSW-5pack</t>
  </si>
  <si>
    <t>TF-1  ALREADY DISPATCHED</t>
  </si>
  <si>
    <t>Move to Shima Room(1)</t>
  </si>
  <si>
    <t>ShimaRoom</t>
  </si>
  <si>
    <t>From 1F21</t>
  </si>
  <si>
    <t>MOVE TO TRACE</t>
  </si>
  <si>
    <t>TF-1 TF-2</t>
  </si>
  <si>
    <t>Kono-9 Kono-6(TUE)</t>
  </si>
  <si>
    <t>TF-7 SF-1</t>
  </si>
  <si>
    <t>TF-1　For STNSW-1 SF-1</t>
  </si>
  <si>
    <t>YAYOI-48</t>
  </si>
  <si>
    <t>YAYOI-32</t>
  </si>
  <si>
    <t>ETD 15/08/2019</t>
  </si>
  <si>
    <t>TF-0.83 Label</t>
  </si>
  <si>
    <t>MOVE TO 6A41(15)</t>
  </si>
  <si>
    <t>FROM NK PLT</t>
  </si>
  <si>
    <t>Rice Vineger Mild 20lt (ST) Mild (Gold)</t>
  </si>
  <si>
    <t>FROM S22</t>
  </si>
  <si>
    <t>FROM S50</t>
  </si>
  <si>
    <t>FOR STNSW-36</t>
  </si>
  <si>
    <t>CDY07</t>
  </si>
  <si>
    <t>05/06/2019</t>
  </si>
  <si>
    <t>Sushi Ginger White(ST) June5</t>
  </si>
  <si>
    <t>しょうが白(ST)</t>
  </si>
  <si>
    <t>15gX100pcX5Pack/ctn</t>
  </si>
  <si>
    <t>01/01/2020</t>
  </si>
  <si>
    <t>FROM S13</t>
  </si>
  <si>
    <t>FOR STNSW-56</t>
  </si>
  <si>
    <t>FROM S3</t>
  </si>
  <si>
    <t>YAYOI-4</t>
  </si>
  <si>
    <t>Yamasa Soy Sauce 18L JUNE 16</t>
  </si>
  <si>
    <t>Pure Vegetable Oil BIB JULY 19</t>
  </si>
  <si>
    <t>FROM H99</t>
  </si>
  <si>
    <t>QP01</t>
  </si>
  <si>
    <t>QP Mayonnaise 1kg Thai JUNE 10</t>
  </si>
  <si>
    <t>1kg x 12pack / box</t>
  </si>
  <si>
    <t>FROM H59</t>
  </si>
  <si>
    <t>T/A Soy sauce JUNE10</t>
  </si>
  <si>
    <t>27/09/2020</t>
  </si>
  <si>
    <t>01/11/2020</t>
  </si>
  <si>
    <t>Pure Vegetable Oil BIB JULY 18</t>
  </si>
  <si>
    <t>FROM H98</t>
  </si>
  <si>
    <t>MOVE TO 1J21(9)</t>
  </si>
  <si>
    <t>FROM 1I21(9)</t>
  </si>
  <si>
    <t>MOVE TO 1G21(6)</t>
  </si>
  <si>
    <t>FROM 1G31(6)</t>
  </si>
  <si>
    <t>MOVE TO 1D41(5.75)</t>
  </si>
  <si>
    <t>FROM 1D51(5.75)</t>
  </si>
  <si>
    <t>MOVE TO 1D51(12)</t>
  </si>
  <si>
    <t>MOVE TO 1D51(16)</t>
  </si>
  <si>
    <t>FROM 5D31(12)</t>
  </si>
  <si>
    <t>FROM 5D31(16)</t>
  </si>
  <si>
    <t>MOVE TO 5C21(8)</t>
  </si>
  <si>
    <t>MOVE TO 5C21(1)</t>
  </si>
  <si>
    <t>FROM H73/MOVE TO 5C21(48)</t>
  </si>
  <si>
    <t>FROM 5C22(48)</t>
  </si>
  <si>
    <t>FROM 5C22(8)</t>
  </si>
  <si>
    <t>FROM 5C22(1)</t>
  </si>
  <si>
    <t>Blue01Ac</t>
  </si>
  <si>
    <t>MOVE TO 2A31</t>
  </si>
  <si>
    <t>FROM F102</t>
  </si>
  <si>
    <t>MOVE TO 5D31</t>
  </si>
  <si>
    <t>FROM 2A31</t>
  </si>
  <si>
    <t>Oriental Funmatsu (Powdered) Kansui Red</t>
  </si>
  <si>
    <t>オリエンタル　粉末　かん水　赤</t>
  </si>
  <si>
    <t>DW17a</t>
  </si>
  <si>
    <t>waiting for invoice</t>
  </si>
  <si>
    <t>Coke 375ml Can</t>
  </si>
  <si>
    <t>CCA コカコーラ　缶</t>
  </si>
  <si>
    <t>375ml x 24/ctn</t>
  </si>
  <si>
    <t>CCA01d</t>
  </si>
  <si>
    <t>FROM YAYOI</t>
  </si>
  <si>
    <t>HAKATA DS-1</t>
  </si>
  <si>
    <t>Coke No Sugar 375ml Can</t>
  </si>
  <si>
    <t>CCA コカコーラ ノーシュガー　缶</t>
  </si>
  <si>
    <t>CCA26b</t>
  </si>
  <si>
    <t>②C11</t>
  </si>
  <si>
    <t>Sprite 375ml Can</t>
  </si>
  <si>
    <t>CCA スプライト　缶</t>
  </si>
  <si>
    <t>CCA04c</t>
  </si>
  <si>
    <t>TF-54</t>
  </si>
  <si>
    <t>FOR GG</t>
  </si>
  <si>
    <t>FOR STNSW</t>
  </si>
  <si>
    <t>OUT 12/08/2019</t>
  </si>
  <si>
    <t>KONO-4</t>
  </si>
  <si>
    <t>KONO-10</t>
  </si>
  <si>
    <t>KONO-1</t>
  </si>
  <si>
    <t>KONO-8</t>
  </si>
  <si>
    <t>OUT 13/08/2019</t>
  </si>
  <si>
    <t>BIDP-0.25</t>
  </si>
  <si>
    <t>BIDP-18</t>
  </si>
  <si>
    <t>BIDP-1</t>
  </si>
  <si>
    <t>NK-15</t>
  </si>
  <si>
    <t>NK-1</t>
  </si>
  <si>
    <t>NK-4</t>
  </si>
  <si>
    <t>NK-20</t>
  </si>
  <si>
    <t>MISSING 13/08/2019</t>
  </si>
  <si>
    <t>Vietnam Rice Blue (ST)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</si>
  <si>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</si>
  <si>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</si>
  <si>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</si>
  <si>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</si>
  <si>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</si>
  <si>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</si>
  <si>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</si>
  <si>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Konbu Tsuyu 1.8L</t>
  </si>
  <si>
    <t>YS06</t>
  </si>
  <si>
    <t>YS07</t>
  </si>
  <si>
    <t>Konbu Tsuyu 500ml</t>
  </si>
  <si>
    <t>ヤマサ　昆布つゆ 500ml</t>
  </si>
  <si>
    <t>Soy Sauce 1L</t>
  </si>
  <si>
    <t>ヤマサ　醤油 1L</t>
  </si>
  <si>
    <t>YS08</t>
  </si>
  <si>
    <t>Soy Sauce 500ml</t>
  </si>
  <si>
    <t>ヤマサ　醤油 500ml</t>
  </si>
  <si>
    <t>500ml x 6/ctn</t>
  </si>
  <si>
    <t>Soy Sauce Sushi Train 10L</t>
  </si>
  <si>
    <t>Seasoning Sauce (Marunama Oroshi Ponzu) 360ml</t>
  </si>
  <si>
    <t>ヤマサ　まる生おろしポン酢 360ml</t>
  </si>
  <si>
    <t>360ml x 12/ctn</t>
  </si>
  <si>
    <t>YS43</t>
  </si>
  <si>
    <t>YS44</t>
  </si>
  <si>
    <t>Seasoning Sauce (Marunama Ponzu) 360ml</t>
  </si>
  <si>
    <t>ヤマサ　まる生ポン酢 360ml</t>
  </si>
  <si>
    <t>Soy Sauce - Sendo Seikatsu Tokusen Marudaizu - 600ml</t>
  </si>
  <si>
    <t>ヤマサ　鮮度生活特選丸大豆しょうゆ 600ml</t>
  </si>
  <si>
    <t>600ml x 12/ctn</t>
  </si>
  <si>
    <t>Soy Sauce - Sendo Seikatsu Genen - 600ml</t>
  </si>
  <si>
    <t>ヤマサ　鮮度生活減塩しょうゆ 600ml</t>
  </si>
  <si>
    <t>YS49</t>
  </si>
  <si>
    <t>YS50</t>
  </si>
  <si>
    <t>YS51</t>
  </si>
  <si>
    <t>YS52</t>
  </si>
  <si>
    <t>YS53</t>
  </si>
  <si>
    <t>Organic Soy Sauce 500ml</t>
  </si>
  <si>
    <t>ヤマサ　有機しょうゆ　500ml</t>
  </si>
  <si>
    <t>500ml x 6x2/ctn</t>
  </si>
  <si>
    <t>Soy Sauce - Sendo Seikatsu Genen - 200ml</t>
  </si>
  <si>
    <t>ヤマサ　鮮度生活減塩しょうゆ 200ml</t>
  </si>
  <si>
    <t>200ml x 12x2/ctn</t>
  </si>
  <si>
    <t>Soy Sauce - Sendo Seikatsu Tokusen Marudaizu - 200ml</t>
  </si>
  <si>
    <t>ヤマサ　鮮度生活特選丸大豆しょうゆ 200ml</t>
  </si>
  <si>
    <t>QP Mayonnaise 1kg Thai</t>
  </si>
  <si>
    <t>QP Mayonnaise Mild Type 10ｇ</t>
  </si>
  <si>
    <t>10g x 800pcs/ctn</t>
  </si>
  <si>
    <t>YM21</t>
  </si>
  <si>
    <t>YM22</t>
  </si>
  <si>
    <t>YM23</t>
  </si>
  <si>
    <t>RoastSesame Dressing 220ml</t>
  </si>
  <si>
    <t>YM 焙煎ごまドレッシング 220ml</t>
  </si>
  <si>
    <t xml:space="preserve">220ml x 24btl/ctn </t>
  </si>
  <si>
    <t>RoastSesame Dressing 500ml</t>
  </si>
  <si>
    <t>YM 焙煎ごまドレッシング 500ml</t>
  </si>
  <si>
    <t xml:space="preserve">500ml x 12btl/ctn </t>
  </si>
  <si>
    <t>RoastSesame Dressing 1L</t>
  </si>
  <si>
    <t>YM 焙煎ごまドレッシング 1L</t>
  </si>
  <si>
    <t xml:space="preserve">1L x 15btl/ctn </t>
  </si>
  <si>
    <t xml:space="preserve">Unagi Tare (Vegetarian) </t>
  </si>
  <si>
    <t>QP Roasted Sesame Sauce(NO MSG)</t>
  </si>
  <si>
    <t>found 6pk</t>
  </si>
  <si>
    <t>TF-18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</si>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</sst>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  <font>
      <i/>
      <sz val="16"/>
      <color rgb="FF000000"/>
      <name val="Arial Narrow"/>
      <family val="2"/>
    </font>
  </fonts>
  <fills count="8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784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173" fontId="87" fillId="41" borderId="1" xfId="0" applyNumberFormat="1" applyFont="1" applyFill="1" applyBorder="1" applyAlignment="1">
      <alignment horizontal="right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62" fillId="64" borderId="1" xfId="0" applyFont="1" applyFill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0" fontId="87" fillId="43" borderId="23" xfId="0" applyFont="1" applyFill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74" fontId="92" fillId="0" borderId="1" xfId="0" applyNumberFormat="1" applyFont="1" applyBorder="1" applyAlignment="1">
      <alignment horizontal="center" vertical="center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0" fontId="55" fillId="78" borderId="1" xfId="0" applyNumberFormat="1" applyFont="1" applyFill="1" applyBorder="1" applyAlignment="1">
      <alignment horizontal="center" vertical="center"/>
    </xf>
    <xf numFmtId="0" fontId="29" fillId="78" borderId="1" xfId="0" applyFont="1" applyFill="1" applyBorder="1" applyAlignment="1">
      <alignment shrinkToFit="1"/>
    </xf>
    <xf numFmtId="16" fontId="29" fillId="78" borderId="1" xfId="0" applyNumberFormat="1" applyFont="1" applyFill="1" applyBorder="1" applyAlignment="1">
      <alignment vertical="center" shrinkToFit="1"/>
    </xf>
    <xf numFmtId="14" fontId="32" fillId="78" borderId="1" xfId="0" applyNumberFormat="1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0" fontId="26" fillId="41" borderId="33" xfId="0" applyFont="1" applyFill="1" applyBorder="1" applyAlignment="1">
      <alignment horizontal="center" vertical="center" shrinkToFit="1"/>
    </xf>
    <xf numFmtId="170" fontId="27" fillId="41" borderId="33" xfId="0" applyNumberFormat="1" applyFont="1" applyFill="1" applyBorder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70" fontId="27" fillId="0" borderId="33" xfId="0" applyNumberFormat="1" applyFont="1" applyFill="1" applyBorder="1" applyAlignment="1">
      <alignment horizontal="center"/>
    </xf>
    <xf numFmtId="0" fontId="29" fillId="0" borderId="33" xfId="0" applyFont="1" applyBorder="1">
      <alignment vertical="center"/>
    </xf>
    <xf numFmtId="173" fontId="87" fillId="0" borderId="35" xfId="0" applyNumberFormat="1" applyFont="1" applyBorder="1" applyAlignment="1">
      <alignment horizontal="right"/>
    </xf>
    <xf numFmtId="170" fontId="27" fillId="0" borderId="34" xfId="0" applyNumberFormat="1" applyFont="1" applyFill="1" applyBorder="1" applyAlignment="1">
      <alignment horizontal="center"/>
    </xf>
    <xf numFmtId="176" fontId="87" fillId="0" borderId="33" xfId="0" applyNumberFormat="1" applyFont="1" applyBorder="1" applyAlignment="1">
      <alignment horizontal="right" vertical="center"/>
    </xf>
    <xf numFmtId="14" fontId="32" fillId="44" borderId="33" xfId="0" applyNumberFormat="1" applyFont="1" applyFill="1" applyBorder="1" applyAlignment="1">
      <alignment horizontal="center" vertical="center" shrinkToFit="1"/>
    </xf>
    <xf numFmtId="173" fontId="33" fillId="41" borderId="35" xfId="0" applyNumberFormat="1" applyFont="1" applyFill="1" applyBorder="1" applyAlignment="1">
      <alignment horizontal="right"/>
    </xf>
    <xf numFmtId="0" fontId="86" fillId="41" borderId="33" xfId="0" applyFont="1" applyFill="1" applyBorder="1" applyAlignment="1">
      <alignment horizontal="center" vertical="center" shrinkToFit="1"/>
    </xf>
    <xf numFmtId="0" fontId="87" fillId="41" borderId="33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5" xfId="0" applyNumberFormat="1" applyFont="1" applyFill="1" applyBorder="1" applyAlignment="1">
      <alignment horizontal="right"/>
    </xf>
    <xf numFmtId="173" fontId="33" fillId="78" borderId="35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5" xfId="0" applyNumberFormat="1" applyFont="1" applyBorder="1" applyAlignment="1">
      <alignment horizontal="righ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4" fontId="27" fillId="0" borderId="1" xfId="0" applyNumberFormat="1" applyFont="1" applyBorder="1">
      <alignment vertical="center"/>
    </xf>
    <xf numFmtId="170" fontId="33" fillId="8" borderId="1" xfId="0" applyNumberFormat="1" applyFont="1" applyFill="1" applyBorder="1" applyAlignment="1">
      <alignment horizontal="center" vertical="center" shrinkToFit="1"/>
    </xf>
    <xf numFmtId="170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0" fontId="29" fillId="8" borderId="1" xfId="0" applyFont="1" applyFill="1" applyBorder="1" applyAlignment="1">
      <alignment shrinkToFit="1"/>
    </xf>
    <xf numFmtId="14" fontId="33" fillId="8" borderId="1" xfId="150" applyNumberFormat="1" applyFont="1" applyFill="1" applyBorder="1" applyAlignment="1">
      <alignment horizontal="center" vertical="center"/>
    </xf>
    <xf numFmtId="173" fontId="87" fillId="8" borderId="22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73" fontId="33" fillId="8" borderId="35" xfId="0" applyNumberFormat="1" applyFont="1" applyFill="1" applyBorder="1" applyAlignment="1">
      <alignment horizontal="right"/>
    </xf>
    <xf numFmtId="49" fontId="2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 shrinkToFit="1"/>
    </xf>
    <xf numFmtId="176" fontId="33" fillId="8" borderId="22" xfId="0" applyNumberFormat="1" applyFont="1" applyFill="1" applyBorder="1" applyAlignment="1">
      <alignment horizontal="right" vertical="center"/>
    </xf>
    <xf numFmtId="173" fontId="87" fillId="8" borderId="35" xfId="0" applyNumberFormat="1" applyFont="1" applyFill="1" applyBorder="1" applyAlignment="1">
      <alignment horizontal="right"/>
    </xf>
    <xf numFmtId="14" fontId="27" fillId="8" borderId="1" xfId="0" applyNumberFormat="1" applyFont="1" applyFill="1" applyBorder="1" applyAlignment="1">
      <alignment horizontal="center" vertical="center" shrinkToFit="1"/>
    </xf>
    <xf numFmtId="0" fontId="177" fillId="8" borderId="1" xfId="0" applyFont="1" applyFill="1" applyBorder="1" applyAlignment="1">
      <alignment horizontal="center" vertical="center" shrinkToFit="1"/>
    </xf>
    <xf numFmtId="0" fontId="141" fillId="8" borderId="1" xfId="0" applyFont="1" applyFill="1" applyBorder="1" applyAlignment="1">
      <alignment horizontal="center" vertical="center" shrinkToFit="1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5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3300"/>
      <color rgb="FFFF99FF"/>
      <color rgb="FFFFFF99"/>
      <color rgb="FFFF00FF"/>
      <color rgb="FFFF5050"/>
      <color rgb="FFCCFFCC"/>
      <color rgb="FFCCFFFF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766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M438" sqref="M438"/>
    </sheetView>
  </sheetViews>
  <sheetFormatPr defaultRowHeight="27"/>
  <cols>
    <col min="1" max="1" width="3.375" style="358" customWidth="1"/>
    <col min="2" max="2" width="9" hidden="1" customWidth="1"/>
    <col min="3" max="3" width="0.25" hidden="1" customWidth="1"/>
    <col min="4" max="4" width="10" style="232" customWidth="1"/>
    <col min="5" max="5" width="15.125" style="361" customWidth="1"/>
    <col min="6" max="6" width="15.125" style="315" customWidth="1"/>
    <col min="7" max="8" width="10.875" style="647" hidden="1" customWidth="1"/>
    <col min="9" max="9" width="22.25" style="617" bestFit="1" customWidth="1"/>
    <col min="10" max="10" width="61.625" style="307" customWidth="1"/>
    <col min="11" max="11" width="32.375" style="303" customWidth="1"/>
    <col min="12" max="12" width="22.75" style="304" customWidth="1"/>
    <col min="13" max="13" width="8.625" style="223" customWidth="1"/>
    <col min="14" max="14" width="9" style="223" customWidth="1"/>
    <col min="15" max="15" width="8.375" style="305" customWidth="1"/>
    <col min="16" max="16" width="9.875" style="274" customWidth="1"/>
    <col min="17" max="17" width="23.125" style="274" customWidth="1"/>
    <col min="18" max="18" width="35.125" style="304" customWidth="1"/>
    <col min="19" max="19" width="14.75" style="306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3"/>
    <col min="29" max="29" width="9" style="115"/>
  </cols>
  <sheetData>
    <row r="1" spans="1:29" ht="36.75" customHeight="1">
      <c r="A1" s="695"/>
      <c r="B1" s="8"/>
      <c r="C1" s="8"/>
      <c r="D1" s="772" t="s">
        <v>805</v>
      </c>
      <c r="E1" s="772"/>
      <c r="F1" s="773"/>
      <c r="G1" s="616"/>
      <c r="H1" s="616"/>
      <c r="J1" s="780" t="s">
        <v>2281</v>
      </c>
      <c r="K1" s="781"/>
      <c r="L1" s="220"/>
      <c r="M1" s="774"/>
      <c r="N1" s="775"/>
      <c r="O1" s="775"/>
      <c r="P1" s="775"/>
      <c r="Q1" s="775"/>
      <c r="S1" s="697"/>
    </row>
    <row r="2" spans="1:29" ht="23.25" customHeight="1">
      <c r="A2" s="695"/>
      <c r="B2" s="8"/>
      <c r="C2" s="8"/>
      <c r="D2" s="694"/>
      <c r="E2" s="221"/>
      <c r="F2" s="315" t="s">
        <v>31</v>
      </c>
      <c r="G2" s="618"/>
      <c r="H2" s="618"/>
      <c r="J2" s="523" t="s">
        <v>1938</v>
      </c>
      <c r="K2" s="275" t="s">
        <v>2282</v>
      </c>
      <c r="L2" s="222"/>
      <c r="M2" s="778"/>
      <c r="N2" s="779"/>
      <c r="O2" s="778"/>
      <c r="P2" s="778"/>
      <c r="Q2" s="778"/>
      <c r="R2" s="531"/>
      <c r="S2" s="697"/>
    </row>
    <row r="3" spans="1:29" ht="33">
      <c r="A3" s="696"/>
      <c r="B3" s="8"/>
      <c r="C3" s="8"/>
      <c r="D3" s="229" t="s">
        <v>1</v>
      </c>
      <c r="E3" s="231"/>
      <c r="F3" s="316" t="s">
        <v>1355</v>
      </c>
      <c r="G3" s="619"/>
      <c r="H3" s="620"/>
      <c r="I3" s="621" t="s">
        <v>1354</v>
      </c>
      <c r="J3" s="264" t="s">
        <v>46</v>
      </c>
      <c r="K3" s="230" t="s">
        <v>63</v>
      </c>
      <c r="L3" s="231" t="s">
        <v>3</v>
      </c>
      <c r="M3" s="776" t="s">
        <v>244</v>
      </c>
      <c r="N3" s="777"/>
      <c r="O3" s="698" t="s">
        <v>879</v>
      </c>
      <c r="P3" s="699" t="s">
        <v>410</v>
      </c>
      <c r="Q3" s="700" t="s">
        <v>384</v>
      </c>
      <c r="R3" s="230" t="s">
        <v>384</v>
      </c>
      <c r="S3" s="701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796</v>
      </c>
    </row>
    <row r="4" spans="1:29" s="168" customFormat="1" ht="18.75" customHeight="1">
      <c r="A4" s="359" t="s">
        <v>28</v>
      </c>
      <c r="B4" s="157"/>
      <c r="C4" s="158"/>
      <c r="D4" s="169" t="s">
        <v>264</v>
      </c>
      <c r="E4" s="124" t="s">
        <v>1408</v>
      </c>
      <c r="F4" s="320" t="s">
        <v>1886</v>
      </c>
      <c r="G4" s="625"/>
      <c r="H4" s="626"/>
      <c r="I4" s="624"/>
      <c r="J4" s="517" t="s">
        <v>1407</v>
      </c>
      <c r="K4" s="125" t="s">
        <v>851</v>
      </c>
      <c r="L4" s="133" t="s">
        <v>852</v>
      </c>
      <c r="M4" s="370">
        <v>53</v>
      </c>
      <c r="N4" s="127" t="s">
        <v>17</v>
      </c>
      <c r="O4" s="235"/>
      <c r="P4" s="90">
        <f t="shared" ref="P4:P26" si="0">IF(O4="",M4,M4-O4)</f>
        <v>53</v>
      </c>
      <c r="Q4" s="283"/>
      <c r="R4" s="726"/>
      <c r="S4" s="550" t="s">
        <v>168</v>
      </c>
      <c r="T4" s="159"/>
      <c r="U4" s="160"/>
      <c r="V4" s="512"/>
      <c r="W4" s="160"/>
      <c r="X4" s="163"/>
      <c r="Y4" s="163"/>
      <c r="Z4" s="164"/>
      <c r="AA4" s="165"/>
      <c r="AB4" s="166"/>
      <c r="AC4" s="167"/>
    </row>
    <row r="5" spans="1:29" ht="18.75" customHeight="1">
      <c r="A5" s="359" t="s">
        <v>28</v>
      </c>
      <c r="D5" s="169" t="s">
        <v>813</v>
      </c>
      <c r="E5" s="181" t="s">
        <v>1680</v>
      </c>
      <c r="F5" s="318">
        <v>43557</v>
      </c>
      <c r="G5" s="622"/>
      <c r="H5" s="623"/>
      <c r="I5" s="736"/>
      <c r="J5" s="517" t="s">
        <v>1681</v>
      </c>
      <c r="K5" s="290"/>
      <c r="L5" s="3" t="s">
        <v>1679</v>
      </c>
      <c r="M5" s="368">
        <v>16.34</v>
      </c>
      <c r="N5" s="127" t="s">
        <v>17</v>
      </c>
      <c r="O5" s="235">
        <v>1</v>
      </c>
      <c r="P5" s="90">
        <f t="shared" si="0"/>
        <v>15.34</v>
      </c>
      <c r="Q5" s="327"/>
      <c r="R5" s="726" t="s">
        <v>777</v>
      </c>
      <c r="S5" s="277" t="s">
        <v>168</v>
      </c>
      <c r="T5" s="178"/>
      <c r="U5" s="91"/>
      <c r="V5" s="674"/>
      <c r="W5" s="674"/>
      <c r="X5" s="153"/>
      <c r="Y5" s="153"/>
      <c r="Z5" s="179"/>
      <c r="AA5" s="155"/>
      <c r="AB5" s="115"/>
      <c r="AC5" s="132"/>
    </row>
    <row r="6" spans="1:29" s="81" customFormat="1" ht="21" customHeight="1">
      <c r="A6" s="377" t="s">
        <v>52</v>
      </c>
      <c r="B6" s="53"/>
      <c r="C6" s="84"/>
      <c r="D6" s="169" t="s">
        <v>233</v>
      </c>
      <c r="E6" s="233" t="s">
        <v>1717</v>
      </c>
      <c r="F6" s="319">
        <v>43494</v>
      </c>
      <c r="G6" s="627"/>
      <c r="H6" s="627"/>
      <c r="I6" s="628"/>
      <c r="J6" s="718" t="s">
        <v>1718</v>
      </c>
      <c r="K6" s="234" t="s">
        <v>583</v>
      </c>
      <c r="L6" s="234" t="s">
        <v>1719</v>
      </c>
      <c r="M6" s="380">
        <v>2</v>
      </c>
      <c r="N6" s="127" t="s">
        <v>17</v>
      </c>
      <c r="O6" s="126">
        <v>1</v>
      </c>
      <c r="P6" s="90">
        <f t="shared" si="0"/>
        <v>1</v>
      </c>
      <c r="Q6" s="604"/>
      <c r="R6" s="752" t="s">
        <v>777</v>
      </c>
      <c r="S6" s="383">
        <v>44175</v>
      </c>
      <c r="T6" s="565"/>
      <c r="V6" s="82"/>
      <c r="X6" s="60"/>
      <c r="Y6" s="60"/>
      <c r="Z6" s="61"/>
      <c r="AA6" s="62"/>
    </row>
    <row r="7" spans="1:29" ht="20.25" customHeight="1">
      <c r="A7" s="377" t="s">
        <v>28</v>
      </c>
      <c r="B7" s="186"/>
      <c r="C7" s="188"/>
      <c r="D7" s="249" t="s">
        <v>1691</v>
      </c>
      <c r="E7" s="233" t="s">
        <v>1385</v>
      </c>
      <c r="F7" s="319">
        <v>43289</v>
      </c>
      <c r="G7" s="629"/>
      <c r="H7" s="630"/>
      <c r="I7" s="624"/>
      <c r="J7" s="509" t="s">
        <v>1386</v>
      </c>
      <c r="K7" s="255" t="s">
        <v>1387</v>
      </c>
      <c r="L7" s="3"/>
      <c r="M7" s="369">
        <v>23</v>
      </c>
      <c r="N7" s="236" t="s">
        <v>1388</v>
      </c>
      <c r="O7" s="235"/>
      <c r="P7" s="90">
        <f t="shared" si="0"/>
        <v>23</v>
      </c>
      <c r="Q7" s="283" t="s">
        <v>1692</v>
      </c>
      <c r="R7" s="726"/>
      <c r="S7" s="288" t="s">
        <v>168</v>
      </c>
      <c r="X7" s="256"/>
      <c r="Y7" s="63"/>
      <c r="Z7" s="257"/>
      <c r="AA7" s="65"/>
      <c r="AB7"/>
      <c r="AC7"/>
    </row>
    <row r="8" spans="1:29" ht="20.25" customHeight="1">
      <c r="A8" s="377" t="s">
        <v>28</v>
      </c>
      <c r="B8" s="186"/>
      <c r="C8" s="188"/>
      <c r="D8" s="15" t="s">
        <v>576</v>
      </c>
      <c r="E8" s="233" t="s">
        <v>1678</v>
      </c>
      <c r="F8" s="319">
        <v>43557</v>
      </c>
      <c r="G8" s="629"/>
      <c r="H8" s="630"/>
      <c r="I8" s="624"/>
      <c r="J8" s="509" t="s">
        <v>779</v>
      </c>
      <c r="K8" s="255"/>
      <c r="L8" s="3" t="s">
        <v>1679</v>
      </c>
      <c r="M8" s="369">
        <v>12</v>
      </c>
      <c r="N8" s="127" t="s">
        <v>17</v>
      </c>
      <c r="O8" s="235"/>
      <c r="P8" s="90">
        <f t="shared" si="0"/>
        <v>12</v>
      </c>
      <c r="Q8" s="283"/>
      <c r="R8" s="726"/>
      <c r="S8" s="288" t="s">
        <v>168</v>
      </c>
      <c r="V8" s="737"/>
      <c r="W8" s="737"/>
      <c r="X8" s="256"/>
      <c r="Y8" s="63"/>
      <c r="Z8" s="257"/>
      <c r="AA8" s="65"/>
      <c r="AB8"/>
      <c r="AC8"/>
    </row>
    <row r="9" spans="1:29" ht="22.5" customHeight="1">
      <c r="A9" s="377" t="s">
        <v>28</v>
      </c>
      <c r="B9" s="186"/>
      <c r="C9" s="188"/>
      <c r="D9" s="15" t="s">
        <v>716</v>
      </c>
      <c r="E9" s="233" t="s">
        <v>1020</v>
      </c>
      <c r="F9" s="319">
        <v>43676</v>
      </c>
      <c r="G9" s="629"/>
      <c r="H9" s="630"/>
      <c r="I9" s="624"/>
      <c r="J9" s="509" t="s">
        <v>1019</v>
      </c>
      <c r="K9" s="255"/>
      <c r="L9" s="3" t="s">
        <v>1679</v>
      </c>
      <c r="M9" s="727">
        <v>12</v>
      </c>
      <c r="N9" s="127" t="s">
        <v>17</v>
      </c>
      <c r="O9" s="235"/>
      <c r="P9" s="90">
        <f t="shared" si="0"/>
        <v>12</v>
      </c>
      <c r="Q9" s="283"/>
      <c r="R9" s="726"/>
      <c r="S9" s="288" t="s">
        <v>168</v>
      </c>
      <c r="X9" s="256"/>
      <c r="Y9" s="63"/>
      <c r="Z9" s="257"/>
      <c r="AA9" s="65"/>
      <c r="AB9"/>
      <c r="AC9"/>
    </row>
    <row r="10" spans="1:29" ht="22.5" customHeight="1">
      <c r="A10" s="377" t="s">
        <v>28</v>
      </c>
      <c r="B10" s="186"/>
      <c r="C10" s="188"/>
      <c r="D10" s="15" t="s">
        <v>716</v>
      </c>
      <c r="E10" s="233" t="s">
        <v>1888</v>
      </c>
      <c r="F10" s="319" t="s">
        <v>1745</v>
      </c>
      <c r="G10" s="629"/>
      <c r="H10" s="630"/>
      <c r="I10" s="624"/>
      <c r="J10" s="509" t="s">
        <v>1889</v>
      </c>
      <c r="K10" s="255" t="s">
        <v>1890</v>
      </c>
      <c r="L10" s="3" t="s">
        <v>1750</v>
      </c>
      <c r="M10" s="727">
        <v>1</v>
      </c>
      <c r="N10" s="127" t="s">
        <v>17</v>
      </c>
      <c r="O10" s="235"/>
      <c r="P10" s="90">
        <f t="shared" si="0"/>
        <v>1</v>
      </c>
      <c r="Q10" s="283"/>
      <c r="R10" s="726"/>
      <c r="S10" s="288" t="s">
        <v>1711</v>
      </c>
      <c r="X10" s="256"/>
      <c r="Y10" s="63"/>
      <c r="Z10" s="257"/>
      <c r="AA10" s="65"/>
      <c r="AB10"/>
      <c r="AC10"/>
    </row>
    <row r="11" spans="1:29" s="156" customFormat="1" ht="20.25" customHeight="1">
      <c r="A11" s="359" t="s">
        <v>28</v>
      </c>
      <c r="B11" s="172"/>
      <c r="C11" s="173"/>
      <c r="D11" s="15" t="s">
        <v>716</v>
      </c>
      <c r="E11" s="181" t="s">
        <v>1020</v>
      </c>
      <c r="F11" s="318">
        <v>43557</v>
      </c>
      <c r="G11" s="622"/>
      <c r="H11" s="623"/>
      <c r="I11" s="624"/>
      <c r="J11" s="517" t="s">
        <v>1019</v>
      </c>
      <c r="K11" s="133"/>
      <c r="L11" s="133" t="s">
        <v>1679</v>
      </c>
      <c r="M11" s="368">
        <v>1</v>
      </c>
      <c r="N11" s="127" t="s">
        <v>17</v>
      </c>
      <c r="O11" s="235"/>
      <c r="P11" s="90">
        <f t="shared" si="0"/>
        <v>1</v>
      </c>
      <c r="Q11" s="327"/>
      <c r="R11" s="726"/>
      <c r="S11" s="383" t="s">
        <v>168</v>
      </c>
      <c r="T11" s="178"/>
      <c r="U11" s="91"/>
      <c r="V11" s="674"/>
      <c r="W11" s="674"/>
      <c r="X11" s="153"/>
      <c r="Y11" s="153"/>
      <c r="Z11" s="179"/>
      <c r="AA11" s="155"/>
      <c r="AB11" s="115"/>
      <c r="AC11" s="132"/>
    </row>
    <row r="12" spans="1:29" s="156" customFormat="1" ht="20.25" customHeight="1">
      <c r="A12" s="359" t="s">
        <v>20</v>
      </c>
      <c r="B12" s="172"/>
      <c r="C12" s="173"/>
      <c r="D12" s="15" t="s">
        <v>699</v>
      </c>
      <c r="E12" s="181" t="s">
        <v>30</v>
      </c>
      <c r="F12" s="318">
        <v>43251</v>
      </c>
      <c r="G12" s="622"/>
      <c r="H12" s="623"/>
      <c r="I12" s="624"/>
      <c r="J12" s="517" t="s">
        <v>30</v>
      </c>
      <c r="K12" s="133" t="s">
        <v>1402</v>
      </c>
      <c r="L12" s="133"/>
      <c r="M12" s="368">
        <v>1</v>
      </c>
      <c r="N12" s="127" t="s">
        <v>268</v>
      </c>
      <c r="O12" s="235"/>
      <c r="P12" s="90">
        <f t="shared" si="0"/>
        <v>1</v>
      </c>
      <c r="Q12" s="327"/>
      <c r="R12" s="726"/>
      <c r="S12" s="277" t="s">
        <v>168</v>
      </c>
      <c r="T12" s="178"/>
      <c r="U12" s="91"/>
      <c r="V12" s="182"/>
      <c r="W12" s="183"/>
      <c r="X12" s="153"/>
      <c r="Y12" s="153"/>
      <c r="Z12" s="179"/>
      <c r="AA12" s="155"/>
      <c r="AB12" s="115"/>
      <c r="AC12" s="132"/>
    </row>
    <row r="13" spans="1:29" s="168" customFormat="1" ht="18.75" customHeight="1">
      <c r="A13" s="359" t="s">
        <v>71</v>
      </c>
      <c r="B13" s="157"/>
      <c r="C13" s="158"/>
      <c r="D13" s="169" t="s">
        <v>101</v>
      </c>
      <c r="E13" s="124" t="s">
        <v>1644</v>
      </c>
      <c r="F13" s="320">
        <v>43468</v>
      </c>
      <c r="G13" s="625"/>
      <c r="H13" s="626"/>
      <c r="I13" s="624"/>
      <c r="J13" s="506" t="s">
        <v>1648</v>
      </c>
      <c r="K13" s="125" t="s">
        <v>1652</v>
      </c>
      <c r="L13" s="133" t="s">
        <v>1661</v>
      </c>
      <c r="M13" s="370">
        <v>11</v>
      </c>
      <c r="N13" s="127" t="s">
        <v>1660</v>
      </c>
      <c r="O13" s="235"/>
      <c r="P13" s="90">
        <f t="shared" si="0"/>
        <v>11</v>
      </c>
      <c r="Q13" s="526"/>
      <c r="R13" s="726"/>
      <c r="S13" s="383" t="s">
        <v>168</v>
      </c>
      <c r="T13" s="159"/>
      <c r="U13" s="160"/>
      <c r="V13" s="664"/>
      <c r="W13" s="665"/>
      <c r="X13" s="163"/>
      <c r="Y13" s="163"/>
      <c r="Z13" s="164"/>
      <c r="AA13" s="165"/>
      <c r="AB13" s="166"/>
      <c r="AC13" s="167"/>
    </row>
    <row r="14" spans="1:29" s="53" customFormat="1" ht="20.25" customHeight="1">
      <c r="A14" s="359" t="s">
        <v>52</v>
      </c>
      <c r="B14" s="137"/>
      <c r="C14" s="176"/>
      <c r="D14" s="133" t="s">
        <v>1612</v>
      </c>
      <c r="E14" s="124" t="s">
        <v>471</v>
      </c>
      <c r="F14" s="320">
        <v>43385</v>
      </c>
      <c r="G14" s="625"/>
      <c r="H14" s="626"/>
      <c r="I14" s="624"/>
      <c r="J14" s="718" t="s">
        <v>472</v>
      </c>
      <c r="K14" s="125" t="s">
        <v>538</v>
      </c>
      <c r="L14" s="133" t="s">
        <v>1531</v>
      </c>
      <c r="M14" s="370">
        <v>5</v>
      </c>
      <c r="N14" s="135" t="s">
        <v>17</v>
      </c>
      <c r="O14" s="235"/>
      <c r="P14" s="90">
        <f t="shared" si="0"/>
        <v>5</v>
      </c>
      <c r="Q14" s="283"/>
      <c r="R14" s="726"/>
      <c r="S14" s="277">
        <v>43718</v>
      </c>
      <c r="T14" s="197"/>
      <c r="U14" s="203"/>
      <c r="V14" s="206"/>
      <c r="W14" s="741"/>
      <c r="X14" s="198"/>
      <c r="Y14" s="198"/>
      <c r="Z14" s="199"/>
      <c r="AA14" s="200"/>
      <c r="AB14" s="191"/>
      <c r="AC14" s="192"/>
    </row>
    <row r="15" spans="1:29" ht="20.25" customHeight="1">
      <c r="A15" s="359" t="s">
        <v>20</v>
      </c>
      <c r="D15" s="133" t="s">
        <v>1612</v>
      </c>
      <c r="E15" s="561"/>
      <c r="F15" s="323">
        <v>43413</v>
      </c>
      <c r="G15" s="627"/>
      <c r="H15" s="631"/>
      <c r="I15" s="624"/>
      <c r="J15" s="517" t="s">
        <v>1575</v>
      </c>
      <c r="K15" s="125" t="s">
        <v>1574</v>
      </c>
      <c r="L15" s="133"/>
      <c r="M15" s="368">
        <v>1</v>
      </c>
      <c r="N15" s="127" t="s">
        <v>1352</v>
      </c>
      <c r="O15" s="235"/>
      <c r="P15" s="90">
        <f t="shared" si="0"/>
        <v>1</v>
      </c>
      <c r="Q15" s="326" t="s">
        <v>1577</v>
      </c>
      <c r="R15" s="726"/>
      <c r="S15" s="288" t="s">
        <v>168</v>
      </c>
      <c r="T15" s="27"/>
      <c r="U15" s="11"/>
      <c r="V15" s="57"/>
      <c r="W15" s="11"/>
      <c r="X15" s="69"/>
      <c r="Y15" s="59"/>
      <c r="Z15" s="70"/>
      <c r="AA15" s="71"/>
      <c r="AB15" s="142"/>
      <c r="AC15" s="117"/>
    </row>
    <row r="16" spans="1:29" s="168" customFormat="1" ht="19.5" customHeight="1">
      <c r="A16" s="359" t="s">
        <v>28</v>
      </c>
      <c r="B16" s="157"/>
      <c r="C16" s="158"/>
      <c r="D16" s="85" t="s">
        <v>718</v>
      </c>
      <c r="E16" s="536" t="s">
        <v>2375</v>
      </c>
      <c r="F16" s="601">
        <v>43684</v>
      </c>
      <c r="G16" s="625"/>
      <c r="H16" s="626"/>
      <c r="I16" s="624" t="s">
        <v>2376</v>
      </c>
      <c r="J16" s="756" t="s">
        <v>2372</v>
      </c>
      <c r="K16" s="541" t="s">
        <v>2373</v>
      </c>
      <c r="L16" s="252" t="s">
        <v>2374</v>
      </c>
      <c r="M16" s="602">
        <v>1</v>
      </c>
      <c r="N16" s="547" t="s">
        <v>17</v>
      </c>
      <c r="O16" s="537">
        <v>1</v>
      </c>
      <c r="P16" s="603">
        <f t="shared" ref="P16" si="1">IF(O16="",M16,M16-O16)</f>
        <v>0</v>
      </c>
      <c r="Q16" s="283"/>
      <c r="R16" s="726" t="s">
        <v>2377</v>
      </c>
      <c r="S16" s="550">
        <v>44019</v>
      </c>
      <c r="T16" s="159"/>
      <c r="U16" s="160"/>
      <c r="V16" s="512"/>
      <c r="W16" s="160"/>
      <c r="X16" s="163"/>
      <c r="Y16" s="163"/>
      <c r="Z16" s="164"/>
      <c r="AA16" s="165"/>
      <c r="AB16" s="166"/>
      <c r="AC16" s="167"/>
    </row>
    <row r="17" spans="1:29" s="168" customFormat="1" ht="19.5" customHeight="1">
      <c r="A17" s="359" t="s">
        <v>28</v>
      </c>
      <c r="B17" s="157"/>
      <c r="C17" s="158"/>
      <c r="D17" s="85" t="s">
        <v>718</v>
      </c>
      <c r="E17" s="536" t="s">
        <v>2380</v>
      </c>
      <c r="F17" s="601">
        <v>43684</v>
      </c>
      <c r="G17" s="625"/>
      <c r="H17" s="626"/>
      <c r="I17" s="624" t="s">
        <v>2376</v>
      </c>
      <c r="J17" s="756" t="s">
        <v>2378</v>
      </c>
      <c r="K17" s="541" t="s">
        <v>2379</v>
      </c>
      <c r="L17" s="252" t="s">
        <v>2374</v>
      </c>
      <c r="M17" s="602">
        <v>1</v>
      </c>
      <c r="N17" s="547" t="s">
        <v>17</v>
      </c>
      <c r="O17" s="537">
        <v>1</v>
      </c>
      <c r="P17" s="603">
        <f t="shared" ref="P17" si="2">IF(O17="",M17,M17-O17)</f>
        <v>0</v>
      </c>
      <c r="Q17" s="283"/>
      <c r="R17" s="726" t="s">
        <v>2377</v>
      </c>
      <c r="S17" s="550">
        <v>43844</v>
      </c>
      <c r="T17" s="159"/>
      <c r="U17" s="160"/>
      <c r="V17" s="512"/>
      <c r="W17" s="160"/>
      <c r="X17" s="163"/>
      <c r="Y17" s="163"/>
      <c r="Z17" s="164"/>
      <c r="AA17" s="165"/>
      <c r="AB17" s="166"/>
      <c r="AC17" s="167"/>
    </row>
    <row r="18" spans="1:29" ht="19.5" customHeight="1">
      <c r="A18" s="359" t="s">
        <v>20</v>
      </c>
      <c r="D18" s="261" t="s">
        <v>718</v>
      </c>
      <c r="E18" s="262"/>
      <c r="F18" s="322"/>
      <c r="G18" s="627"/>
      <c r="H18" s="631"/>
      <c r="I18" s="624"/>
      <c r="J18" s="516" t="s">
        <v>1211</v>
      </c>
      <c r="K18" s="258" t="s">
        <v>546</v>
      </c>
      <c r="L18" s="354" t="s">
        <v>1212</v>
      </c>
      <c r="M18" s="371">
        <v>1</v>
      </c>
      <c r="N18" s="263" t="s">
        <v>268</v>
      </c>
      <c r="O18" s="235"/>
      <c r="P18" s="90">
        <f t="shared" si="0"/>
        <v>1</v>
      </c>
      <c r="Q18" s="329"/>
      <c r="R18" s="726"/>
      <c r="S18" s="337" t="s">
        <v>168</v>
      </c>
      <c r="T18" s="54"/>
      <c r="U18" s="73"/>
      <c r="V18" s="74"/>
      <c r="W18" s="73"/>
      <c r="X18" s="66"/>
      <c r="Y18" s="66"/>
      <c r="Z18" s="67"/>
      <c r="AA18" s="68"/>
      <c r="AB18" s="142"/>
      <c r="AC18" s="117"/>
    </row>
    <row r="19" spans="1:29" ht="19.5" customHeight="1">
      <c r="A19" s="359" t="s">
        <v>20</v>
      </c>
      <c r="D19" s="261" t="s">
        <v>1613</v>
      </c>
      <c r="E19" s="262"/>
      <c r="F19" s="322" t="s">
        <v>805</v>
      </c>
      <c r="G19" s="627"/>
      <c r="H19" s="631"/>
      <c r="I19" s="624"/>
      <c r="J19" s="516" t="s">
        <v>1211</v>
      </c>
      <c r="K19" s="258" t="s">
        <v>546</v>
      </c>
      <c r="L19" s="354" t="s">
        <v>1212</v>
      </c>
      <c r="M19" s="371">
        <v>1</v>
      </c>
      <c r="N19" s="263" t="s">
        <v>268</v>
      </c>
      <c r="O19" s="235"/>
      <c r="P19" s="90">
        <f t="shared" si="0"/>
        <v>1</v>
      </c>
      <c r="Q19" s="329"/>
      <c r="R19" s="726"/>
      <c r="S19" s="337" t="s">
        <v>168</v>
      </c>
      <c r="T19" s="54"/>
      <c r="U19" s="73"/>
      <c r="V19" s="74"/>
      <c r="W19" s="73"/>
      <c r="X19" s="66"/>
      <c r="Y19" s="66"/>
      <c r="Z19" s="67"/>
      <c r="AA19" s="68"/>
      <c r="AB19" s="142"/>
      <c r="AC19" s="117"/>
    </row>
    <row r="20" spans="1:29" s="168" customFormat="1" ht="19.5" customHeight="1">
      <c r="A20" s="359" t="s">
        <v>2280</v>
      </c>
      <c r="B20" s="157"/>
      <c r="C20" s="158"/>
      <c r="D20" s="249" t="s">
        <v>517</v>
      </c>
      <c r="E20" s="124" t="s">
        <v>1298</v>
      </c>
      <c r="F20" s="320" t="s">
        <v>1693</v>
      </c>
      <c r="G20" s="625"/>
      <c r="H20" s="626"/>
      <c r="I20" s="624"/>
      <c r="J20" s="517" t="s">
        <v>1701</v>
      </c>
      <c r="K20" s="125" t="s">
        <v>1299</v>
      </c>
      <c r="L20" s="133" t="s">
        <v>1300</v>
      </c>
      <c r="M20" s="370">
        <v>13</v>
      </c>
      <c r="N20" s="127" t="s">
        <v>17</v>
      </c>
      <c r="O20" s="235"/>
      <c r="P20" s="90">
        <f t="shared" si="0"/>
        <v>13</v>
      </c>
      <c r="Q20" s="283"/>
      <c r="R20" s="726"/>
      <c r="S20" s="550">
        <v>43817</v>
      </c>
      <c r="T20" s="159"/>
      <c r="U20" s="160"/>
      <c r="V20" s="512"/>
      <c r="W20" s="160"/>
      <c r="X20" s="163"/>
      <c r="Y20" s="163"/>
      <c r="Z20" s="164"/>
      <c r="AA20" s="165"/>
      <c r="AB20" s="166"/>
      <c r="AC20" s="167"/>
    </row>
    <row r="21" spans="1:29" ht="20.25" customHeight="1">
      <c r="A21" s="359" t="s">
        <v>20</v>
      </c>
      <c r="B21" s="186"/>
      <c r="C21" s="188"/>
      <c r="D21" s="249" t="s">
        <v>1913</v>
      </c>
      <c r="E21" s="124" t="s">
        <v>1508</v>
      </c>
      <c r="F21" s="319" t="s">
        <v>1745</v>
      </c>
      <c r="G21" s="627"/>
      <c r="H21" s="631"/>
      <c r="I21" s="632"/>
      <c r="J21" s="718" t="s">
        <v>1505</v>
      </c>
      <c r="K21" s="125" t="s">
        <v>1506</v>
      </c>
      <c r="L21" s="125" t="s">
        <v>1507</v>
      </c>
      <c r="M21" s="514">
        <v>5</v>
      </c>
      <c r="N21" s="236" t="s">
        <v>17</v>
      </c>
      <c r="O21" s="235"/>
      <c r="P21" s="90">
        <f t="shared" si="0"/>
        <v>5</v>
      </c>
      <c r="Q21" s="382"/>
      <c r="R21" s="726"/>
      <c r="S21" s="383" t="s">
        <v>1748</v>
      </c>
      <c r="T21" s="27"/>
      <c r="U21" s="81"/>
      <c r="V21" s="82"/>
      <c r="W21" s="81"/>
      <c r="X21" s="63"/>
      <c r="Y21" s="139"/>
      <c r="Z21" s="131"/>
      <c r="AA21" s="140"/>
      <c r="AB21" s="141"/>
      <c r="AC21" s="141"/>
    </row>
    <row r="22" spans="1:29" ht="20.25" customHeight="1">
      <c r="A22" s="359" t="s">
        <v>20</v>
      </c>
      <c r="B22" s="186"/>
      <c r="C22" s="188"/>
      <c r="D22" s="249" t="s">
        <v>1913</v>
      </c>
      <c r="E22" s="124" t="s">
        <v>1496</v>
      </c>
      <c r="F22" s="319" t="s">
        <v>1745</v>
      </c>
      <c r="G22" s="627"/>
      <c r="H22" s="631"/>
      <c r="I22" s="632"/>
      <c r="J22" s="718" t="s">
        <v>1497</v>
      </c>
      <c r="K22" s="125" t="s">
        <v>1498</v>
      </c>
      <c r="L22" s="125" t="s">
        <v>1499</v>
      </c>
      <c r="M22" s="514">
        <v>3</v>
      </c>
      <c r="N22" s="236" t="s">
        <v>17</v>
      </c>
      <c r="O22" s="235"/>
      <c r="P22" s="90">
        <f t="shared" si="0"/>
        <v>3</v>
      </c>
      <c r="Q22" s="382"/>
      <c r="R22" s="726"/>
      <c r="S22" s="383" t="s">
        <v>1749</v>
      </c>
      <c r="T22" s="27"/>
      <c r="U22" s="81"/>
      <c r="V22" s="82"/>
      <c r="W22" s="81"/>
      <c r="X22" s="63"/>
      <c r="Y22" s="139"/>
      <c r="Z22" s="131"/>
      <c r="AA22" s="140"/>
      <c r="AB22" s="141"/>
      <c r="AC22" s="141"/>
    </row>
    <row r="23" spans="1:29" s="1" customFormat="1" ht="20.25" customHeight="1">
      <c r="A23" s="359" t="s">
        <v>20</v>
      </c>
      <c r="B23"/>
      <c r="C23" s="76"/>
      <c r="D23" s="249" t="s">
        <v>1913</v>
      </c>
      <c r="E23" s="233" t="s">
        <v>321</v>
      </c>
      <c r="F23" s="319" t="s">
        <v>1738</v>
      </c>
      <c r="G23" s="627"/>
      <c r="H23" s="631"/>
      <c r="I23" s="632"/>
      <c r="J23" s="519" t="s">
        <v>322</v>
      </c>
      <c r="K23" s="234" t="s">
        <v>323</v>
      </c>
      <c r="L23" s="3" t="s">
        <v>324</v>
      </c>
      <c r="M23" s="369">
        <v>6</v>
      </c>
      <c r="N23" s="236" t="s">
        <v>17</v>
      </c>
      <c r="O23" s="235"/>
      <c r="P23" s="90">
        <f t="shared" si="0"/>
        <v>6</v>
      </c>
      <c r="Q23" s="328"/>
      <c r="R23" s="726"/>
      <c r="S23" s="288" t="s">
        <v>805</v>
      </c>
      <c r="T23" s="27"/>
      <c r="U23" s="8"/>
      <c r="V23" s="742"/>
      <c r="W23" s="745"/>
      <c r="X23" s="63"/>
      <c r="Y23" s="63"/>
      <c r="Z23" s="64"/>
      <c r="AA23" s="65"/>
      <c r="AB23"/>
      <c r="AC23"/>
    </row>
    <row r="24" spans="1:29" s="141" customFormat="1" ht="20.25" customHeight="1">
      <c r="A24" s="377" t="s">
        <v>218</v>
      </c>
      <c r="B24" s="186"/>
      <c r="C24" s="188"/>
      <c r="D24" s="123" t="s">
        <v>470</v>
      </c>
      <c r="E24" s="124" t="s">
        <v>1607</v>
      </c>
      <c r="F24" s="378">
        <v>43665</v>
      </c>
      <c r="G24" s="627"/>
      <c r="H24" s="631"/>
      <c r="I24" s="632"/>
      <c r="J24" s="517" t="s">
        <v>2263</v>
      </c>
      <c r="K24" s="125" t="s">
        <v>1018</v>
      </c>
      <c r="L24" s="125" t="s">
        <v>86</v>
      </c>
      <c r="M24" s="514">
        <v>32</v>
      </c>
      <c r="N24" s="135" t="s">
        <v>17</v>
      </c>
      <c r="O24" s="235"/>
      <c r="P24" s="90">
        <f t="shared" si="0"/>
        <v>32</v>
      </c>
      <c r="Q24" s="382"/>
      <c r="R24" s="726"/>
      <c r="S24" s="383">
        <v>44012</v>
      </c>
      <c r="T24" s="27"/>
      <c r="U24" s="81"/>
      <c r="V24" s="82"/>
      <c r="W24" s="81"/>
      <c r="X24" s="63"/>
      <c r="Y24" s="139"/>
      <c r="Z24" s="131"/>
      <c r="AA24" s="140"/>
    </row>
    <row r="25" spans="1:29" ht="20.25" customHeight="1">
      <c r="A25" s="359" t="s">
        <v>71</v>
      </c>
      <c r="C25" s="84"/>
      <c r="D25" s="123" t="s">
        <v>468</v>
      </c>
      <c r="E25" s="149" t="s">
        <v>1646</v>
      </c>
      <c r="F25" s="321">
        <v>43468</v>
      </c>
      <c r="G25" s="625"/>
      <c r="H25" s="626"/>
      <c r="I25" s="624"/>
      <c r="J25" s="515" t="s">
        <v>1650</v>
      </c>
      <c r="K25" s="285" t="s">
        <v>1654</v>
      </c>
      <c r="L25" s="290" t="s">
        <v>1663</v>
      </c>
      <c r="M25" s="370">
        <v>4</v>
      </c>
      <c r="N25" s="150" t="s">
        <v>17</v>
      </c>
      <c r="O25" s="235"/>
      <c r="P25" s="90">
        <f t="shared" si="0"/>
        <v>4</v>
      </c>
      <c r="Q25" s="326"/>
      <c r="R25" s="726"/>
      <c r="S25" s="288" t="s">
        <v>168</v>
      </c>
      <c r="T25" s="72"/>
      <c r="U25" s="81"/>
      <c r="V25" s="82"/>
      <c r="W25" s="81"/>
      <c r="X25" s="60"/>
      <c r="Y25" s="60"/>
      <c r="Z25" s="83"/>
      <c r="AA25" s="62"/>
      <c r="AB25" s="142"/>
      <c r="AC25" s="117"/>
    </row>
    <row r="26" spans="1:29" ht="19.5" customHeight="1">
      <c r="A26" s="359" t="s">
        <v>28</v>
      </c>
      <c r="D26" s="123" t="s">
        <v>514</v>
      </c>
      <c r="E26" s="181" t="s">
        <v>1351</v>
      </c>
      <c r="F26" s="319">
        <v>43255</v>
      </c>
      <c r="G26" s="629"/>
      <c r="H26" s="630"/>
      <c r="I26" s="624"/>
      <c r="J26" s="517" t="s">
        <v>1348</v>
      </c>
      <c r="K26" s="133" t="s">
        <v>1349</v>
      </c>
      <c r="L26" s="133" t="s">
        <v>1350</v>
      </c>
      <c r="M26" s="369">
        <v>1</v>
      </c>
      <c r="N26" s="236" t="s">
        <v>17</v>
      </c>
      <c r="O26" s="235"/>
      <c r="P26" s="90">
        <f t="shared" si="0"/>
        <v>1</v>
      </c>
      <c r="Q26" s="386" t="s">
        <v>1530</v>
      </c>
      <c r="R26" s="726"/>
      <c r="S26" s="383">
        <v>43664</v>
      </c>
      <c r="V26" s="737"/>
      <c r="W26" s="737"/>
      <c r="X26" s="256"/>
      <c r="Y26" s="63"/>
      <c r="Z26" s="257"/>
      <c r="AA26" s="65"/>
      <c r="AB26"/>
      <c r="AC26"/>
    </row>
    <row r="27" spans="1:29" s="141" customFormat="1" ht="20.25" customHeight="1">
      <c r="A27" s="359" t="s">
        <v>66</v>
      </c>
      <c r="B27" s="186"/>
      <c r="C27" s="188"/>
      <c r="D27" s="123" t="s">
        <v>514</v>
      </c>
      <c r="E27" s="124" t="s">
        <v>655</v>
      </c>
      <c r="F27" s="319"/>
      <c r="G27" s="627"/>
      <c r="H27" s="631"/>
      <c r="I27" s="632"/>
      <c r="J27" s="517" t="s">
        <v>737</v>
      </c>
      <c r="K27" s="125" t="s">
        <v>738</v>
      </c>
      <c r="L27" s="125" t="s">
        <v>739</v>
      </c>
      <c r="M27" s="710">
        <v>2</v>
      </c>
      <c r="N27" s="135" t="s">
        <v>17</v>
      </c>
      <c r="O27" s="235"/>
      <c r="P27" s="90">
        <f t="shared" ref="P27:P57" si="3">IF(O27="",M27,M27-O27)</f>
        <v>2</v>
      </c>
      <c r="Q27" s="382" t="s">
        <v>2027</v>
      </c>
      <c r="R27" s="726"/>
      <c r="S27" s="383" t="s">
        <v>1846</v>
      </c>
      <c r="T27" s="27"/>
      <c r="U27" s="81"/>
      <c r="V27" s="82"/>
      <c r="W27" s="81"/>
      <c r="X27" s="63"/>
      <c r="Y27" s="139"/>
      <c r="Z27" s="131"/>
      <c r="AA27" s="140"/>
    </row>
    <row r="28" spans="1:29" ht="18.75" customHeight="1">
      <c r="A28" s="377" t="s">
        <v>20</v>
      </c>
      <c r="B28" s="186"/>
      <c r="C28" s="188"/>
      <c r="D28" s="123" t="s">
        <v>514</v>
      </c>
      <c r="E28" s="124" t="s">
        <v>1478</v>
      </c>
      <c r="F28" s="319">
        <v>43347</v>
      </c>
      <c r="G28" s="627"/>
      <c r="H28" s="627"/>
      <c r="I28" s="628"/>
      <c r="J28" s="718" t="s">
        <v>1477</v>
      </c>
      <c r="K28" s="125" t="s">
        <v>1476</v>
      </c>
      <c r="L28" s="125" t="s">
        <v>152</v>
      </c>
      <c r="M28" s="380">
        <v>2</v>
      </c>
      <c r="N28" s="236" t="s">
        <v>17</v>
      </c>
      <c r="O28" s="235"/>
      <c r="P28" s="90">
        <f t="shared" si="3"/>
        <v>2</v>
      </c>
      <c r="Q28" s="382"/>
      <c r="R28" s="726"/>
      <c r="S28" s="383">
        <v>43825</v>
      </c>
      <c r="T28" s="27"/>
      <c r="U28" s="81"/>
      <c r="V28" s="82"/>
      <c r="W28" s="81"/>
      <c r="X28" s="63"/>
      <c r="Y28" s="139"/>
      <c r="Z28" s="131">
        <v>5615</v>
      </c>
      <c r="AA28" s="140"/>
      <c r="AB28" s="141"/>
      <c r="AC28" s="141"/>
    </row>
    <row r="29" spans="1:29" ht="20.25" customHeight="1">
      <c r="A29" s="359" t="s">
        <v>28</v>
      </c>
      <c r="C29" s="84"/>
      <c r="D29" s="123" t="s">
        <v>514</v>
      </c>
      <c r="E29" s="181" t="s">
        <v>346</v>
      </c>
      <c r="F29" s="320">
        <v>42888</v>
      </c>
      <c r="G29" s="625"/>
      <c r="H29" s="626"/>
      <c r="I29" s="624"/>
      <c r="J29" s="719" t="s">
        <v>394</v>
      </c>
      <c r="K29" s="133" t="s">
        <v>347</v>
      </c>
      <c r="L29" s="133" t="s">
        <v>362</v>
      </c>
      <c r="M29" s="370">
        <v>5</v>
      </c>
      <c r="N29" s="135" t="s">
        <v>17</v>
      </c>
      <c r="O29" s="235"/>
      <c r="P29" s="90">
        <f t="shared" si="3"/>
        <v>5</v>
      </c>
      <c r="Q29" s="270"/>
      <c r="R29" s="726"/>
      <c r="S29" s="277" t="s">
        <v>168</v>
      </c>
      <c r="T29" s="11"/>
      <c r="V29" s="36"/>
      <c r="W29" s="36"/>
      <c r="X29" s="63">
        <v>88.5</v>
      </c>
      <c r="Y29" s="63"/>
      <c r="Z29" s="64"/>
      <c r="AA29" s="65"/>
      <c r="AB29" s="115"/>
      <c r="AC29" s="117"/>
    </row>
    <row r="30" spans="1:29" s="53" customFormat="1" ht="20.25" customHeight="1">
      <c r="A30" s="359" t="s">
        <v>20</v>
      </c>
      <c r="C30" s="84"/>
      <c r="D30" s="123" t="s">
        <v>514</v>
      </c>
      <c r="E30" s="181" t="s">
        <v>170</v>
      </c>
      <c r="F30" s="320">
        <v>41954</v>
      </c>
      <c r="G30" s="625"/>
      <c r="H30" s="626"/>
      <c r="I30" s="624"/>
      <c r="J30" s="719" t="s">
        <v>175</v>
      </c>
      <c r="K30" s="133" t="s">
        <v>176</v>
      </c>
      <c r="L30" s="133" t="s">
        <v>166</v>
      </c>
      <c r="M30" s="370">
        <v>10.83</v>
      </c>
      <c r="N30" s="135" t="s">
        <v>17</v>
      </c>
      <c r="O30" s="235"/>
      <c r="P30" s="90">
        <f t="shared" si="3"/>
        <v>10.83</v>
      </c>
      <c r="Q30" s="270" t="s">
        <v>382</v>
      </c>
      <c r="R30" s="726"/>
      <c r="S30" s="277" t="s">
        <v>168</v>
      </c>
      <c r="T30" s="20"/>
      <c r="U30" s="1"/>
      <c r="V30" s="739"/>
      <c r="W30" s="739"/>
      <c r="X30" s="63"/>
      <c r="Y30" s="63"/>
      <c r="Z30" s="64">
        <v>17520</v>
      </c>
      <c r="AA30" s="65"/>
      <c r="AB30" s="115"/>
      <c r="AC30" s="117"/>
    </row>
    <row r="31" spans="1:29" ht="20.25" customHeight="1">
      <c r="A31" s="359" t="s">
        <v>28</v>
      </c>
      <c r="B31" s="10"/>
      <c r="C31" s="76" t="str">
        <f>K$2</f>
        <v>10/08/2019</v>
      </c>
      <c r="D31" s="123" t="s">
        <v>514</v>
      </c>
      <c r="E31" s="149" t="s">
        <v>667</v>
      </c>
      <c r="F31" s="321">
        <v>42873</v>
      </c>
      <c r="G31" s="625"/>
      <c r="H31" s="626"/>
      <c r="I31" s="624"/>
      <c r="J31" s="719" t="s">
        <v>668</v>
      </c>
      <c r="K31" s="285" t="s">
        <v>669</v>
      </c>
      <c r="L31" s="290" t="s">
        <v>763</v>
      </c>
      <c r="M31" s="370">
        <v>5395</v>
      </c>
      <c r="N31" s="259" t="s">
        <v>1134</v>
      </c>
      <c r="O31" s="235"/>
      <c r="P31" s="90">
        <f t="shared" si="3"/>
        <v>5395</v>
      </c>
      <c r="Q31" s="272" t="s">
        <v>1865</v>
      </c>
      <c r="R31" s="726"/>
      <c r="S31" s="288" t="s">
        <v>168</v>
      </c>
      <c r="T31" s="72"/>
      <c r="U31" s="81"/>
      <c r="V31" s="82"/>
      <c r="W31" s="81"/>
      <c r="X31" s="60">
        <v>30</v>
      </c>
      <c r="Y31" s="60"/>
      <c r="Z31" s="83"/>
      <c r="AA31" s="62"/>
      <c r="AB31" s="142"/>
      <c r="AC31" s="117"/>
    </row>
    <row r="32" spans="1:29" s="53" customFormat="1" ht="20.25" customHeight="1">
      <c r="A32" s="359" t="s">
        <v>20</v>
      </c>
      <c r="B32" s="137"/>
      <c r="C32" s="176"/>
      <c r="D32" s="123" t="s">
        <v>514</v>
      </c>
      <c r="E32" s="124" t="s">
        <v>295</v>
      </c>
      <c r="F32" s="320">
        <v>43291</v>
      </c>
      <c r="G32" s="625"/>
      <c r="H32" s="626"/>
      <c r="I32" s="624"/>
      <c r="J32" s="719" t="s">
        <v>296</v>
      </c>
      <c r="K32" s="125" t="s">
        <v>297</v>
      </c>
      <c r="L32" s="133" t="s">
        <v>298</v>
      </c>
      <c r="M32" s="370">
        <v>2</v>
      </c>
      <c r="N32" s="135" t="s">
        <v>17</v>
      </c>
      <c r="O32" s="235"/>
      <c r="P32" s="90">
        <f t="shared" si="3"/>
        <v>2</v>
      </c>
      <c r="Q32" s="283"/>
      <c r="R32" s="726"/>
      <c r="S32" s="277">
        <v>43586</v>
      </c>
      <c r="T32" s="197"/>
      <c r="U32" s="203"/>
      <c r="V32" s="206"/>
      <c r="W32" s="205"/>
      <c r="X32" s="198"/>
      <c r="Y32" s="198"/>
      <c r="Z32" s="199"/>
      <c r="AA32" s="200"/>
      <c r="AB32" s="191"/>
      <c r="AC32" s="192"/>
    </row>
    <row r="33" spans="1:29" ht="20.25" customHeight="1">
      <c r="A33" s="377" t="s">
        <v>66</v>
      </c>
      <c r="C33" s="84"/>
      <c r="D33" s="169" t="s">
        <v>589</v>
      </c>
      <c r="E33" s="181" t="s">
        <v>84</v>
      </c>
      <c r="F33" s="310">
        <v>41502</v>
      </c>
      <c r="G33" s="633"/>
      <c r="H33" s="634"/>
      <c r="I33" s="624"/>
      <c r="J33" s="719" t="s">
        <v>396</v>
      </c>
      <c r="K33" s="133" t="s">
        <v>85</v>
      </c>
      <c r="L33" s="133" t="s">
        <v>8</v>
      </c>
      <c r="M33" s="368">
        <v>3</v>
      </c>
      <c r="N33" s="171" t="s">
        <v>17</v>
      </c>
      <c r="O33" s="235"/>
      <c r="P33" s="90">
        <f t="shared" si="3"/>
        <v>3</v>
      </c>
      <c r="Q33" s="270"/>
      <c r="R33" s="726"/>
      <c r="S33" s="286">
        <v>41722</v>
      </c>
      <c r="V33" s="28"/>
      <c r="W33" s="49"/>
      <c r="X33" s="60"/>
      <c r="Y33" s="60">
        <v>28.5</v>
      </c>
      <c r="Z33" s="61"/>
      <c r="AA33" s="62"/>
      <c r="AB33" s="115"/>
      <c r="AC33" s="117"/>
    </row>
    <row r="34" spans="1:29" s="141" customFormat="1" ht="20.25" customHeight="1">
      <c r="A34" s="377" t="s">
        <v>20</v>
      </c>
      <c r="C34" s="122"/>
      <c r="D34" s="169" t="s">
        <v>589</v>
      </c>
      <c r="E34" s="181" t="s">
        <v>35</v>
      </c>
      <c r="F34" s="320">
        <v>41023</v>
      </c>
      <c r="G34" s="625"/>
      <c r="H34" s="626"/>
      <c r="I34" s="624"/>
      <c r="J34" s="719" t="s">
        <v>397</v>
      </c>
      <c r="K34" s="133" t="s">
        <v>36</v>
      </c>
      <c r="L34" s="133" t="s">
        <v>10</v>
      </c>
      <c r="M34" s="370">
        <v>4</v>
      </c>
      <c r="N34" s="135" t="s">
        <v>17</v>
      </c>
      <c r="O34" s="235"/>
      <c r="P34" s="90">
        <f t="shared" si="3"/>
        <v>4</v>
      </c>
      <c r="Q34" s="270"/>
      <c r="R34" s="726"/>
      <c r="S34" s="287" t="s">
        <v>41</v>
      </c>
      <c r="T34"/>
      <c r="U34" s="24"/>
      <c r="V34" s="36"/>
      <c r="W34" s="36"/>
      <c r="X34" s="63"/>
      <c r="Y34" s="63"/>
      <c r="Z34" s="64"/>
      <c r="AA34" s="65"/>
      <c r="AB34" s="115"/>
      <c r="AC34" s="117"/>
    </row>
    <row r="35" spans="1:29" s="1" customFormat="1" ht="20.25" customHeight="1">
      <c r="A35" s="377" t="s">
        <v>20</v>
      </c>
      <c r="B35" s="8"/>
      <c r="C35" s="76"/>
      <c r="D35" s="169" t="s">
        <v>589</v>
      </c>
      <c r="E35" s="181" t="s">
        <v>100</v>
      </c>
      <c r="F35" s="320"/>
      <c r="G35" s="625"/>
      <c r="H35" s="626"/>
      <c r="I35" s="624"/>
      <c r="J35" s="719" t="s">
        <v>390</v>
      </c>
      <c r="K35" s="133" t="s">
        <v>98</v>
      </c>
      <c r="L35" s="133" t="s">
        <v>99</v>
      </c>
      <c r="M35" s="370">
        <v>1</v>
      </c>
      <c r="N35" s="135" t="s">
        <v>17</v>
      </c>
      <c r="O35" s="235"/>
      <c r="P35" s="90">
        <f t="shared" si="3"/>
        <v>1</v>
      </c>
      <c r="Q35" s="330" t="s">
        <v>1871</v>
      </c>
      <c r="R35" s="726"/>
      <c r="S35" s="287">
        <v>41689</v>
      </c>
      <c r="T35"/>
      <c r="U35"/>
      <c r="V35" s="36">
        <v>51.599999999999994</v>
      </c>
      <c r="W35" s="36"/>
      <c r="X35" s="60"/>
      <c r="Y35" s="60"/>
      <c r="Z35" s="61"/>
      <c r="AA35" s="62"/>
      <c r="AB35" s="115"/>
      <c r="AC35" s="117"/>
    </row>
    <row r="36" spans="1:29" ht="19.5" customHeight="1">
      <c r="A36" s="359" t="s">
        <v>28</v>
      </c>
      <c r="D36" s="169" t="s">
        <v>589</v>
      </c>
      <c r="E36" s="181" t="s">
        <v>207</v>
      </c>
      <c r="F36" s="320">
        <v>42066</v>
      </c>
      <c r="G36" s="625"/>
      <c r="H36" s="626"/>
      <c r="I36" s="624"/>
      <c r="J36" s="719" t="s">
        <v>398</v>
      </c>
      <c r="K36" s="133" t="s">
        <v>208</v>
      </c>
      <c r="L36" s="133" t="s">
        <v>209</v>
      </c>
      <c r="M36" s="370">
        <v>2.8690000000000002</v>
      </c>
      <c r="N36" s="135" t="s">
        <v>18</v>
      </c>
      <c r="O36" s="235"/>
      <c r="P36" s="90">
        <f t="shared" si="3"/>
        <v>2.8690000000000002</v>
      </c>
      <c r="Q36" s="270" t="s">
        <v>1868</v>
      </c>
      <c r="R36" s="726"/>
      <c r="S36" s="287">
        <v>42743</v>
      </c>
      <c r="T36" s="11"/>
      <c r="V36" s="28"/>
      <c r="W36" s="49"/>
      <c r="X36" s="63">
        <v>66</v>
      </c>
      <c r="Y36" s="63"/>
      <c r="Z36" s="64"/>
      <c r="AA36" s="65"/>
      <c r="AB36" s="115"/>
      <c r="AC36" s="117"/>
    </row>
    <row r="37" spans="1:29" s="58" customFormat="1" ht="21" customHeight="1">
      <c r="A37" s="359" t="s">
        <v>20</v>
      </c>
      <c r="B37" s="79"/>
      <c r="C37" s="80"/>
      <c r="D37" s="169" t="s">
        <v>589</v>
      </c>
      <c r="E37" s="181" t="s">
        <v>224</v>
      </c>
      <c r="F37" s="310" t="s">
        <v>223</v>
      </c>
      <c r="G37" s="625"/>
      <c r="H37" s="626"/>
      <c r="I37" s="624"/>
      <c r="J37" s="719" t="s">
        <v>399</v>
      </c>
      <c r="K37" s="133" t="s">
        <v>225</v>
      </c>
      <c r="L37" s="133" t="s">
        <v>159</v>
      </c>
      <c r="M37" s="370">
        <v>1</v>
      </c>
      <c r="N37" s="171" t="s">
        <v>17</v>
      </c>
      <c r="O37" s="235"/>
      <c r="P37" s="90">
        <f t="shared" si="3"/>
        <v>1</v>
      </c>
      <c r="Q37" s="330" t="s">
        <v>1871</v>
      </c>
      <c r="R37" s="726"/>
      <c r="S37" s="287">
        <v>41986</v>
      </c>
      <c r="T37" s="11"/>
      <c r="U37"/>
      <c r="V37" s="36">
        <v>432</v>
      </c>
      <c r="W37" s="36"/>
      <c r="X37" s="63"/>
      <c r="Y37" s="63"/>
      <c r="Z37" s="64"/>
      <c r="AA37" s="65"/>
      <c r="AB37" s="115"/>
      <c r="AC37" s="117"/>
    </row>
    <row r="38" spans="1:29" s="58" customFormat="1" ht="21" customHeight="1">
      <c r="A38" s="359" t="s">
        <v>66</v>
      </c>
      <c r="B38" s="79"/>
      <c r="C38" s="80"/>
      <c r="D38" s="169" t="s">
        <v>589</v>
      </c>
      <c r="E38" s="170" t="s">
        <v>120</v>
      </c>
      <c r="F38" s="310">
        <v>41780</v>
      </c>
      <c r="G38" s="635"/>
      <c r="H38" s="636"/>
      <c r="I38" s="624"/>
      <c r="J38" s="719" t="s">
        <v>122</v>
      </c>
      <c r="K38" s="133" t="s">
        <v>123</v>
      </c>
      <c r="L38" s="133" t="s">
        <v>43</v>
      </c>
      <c r="M38" s="368">
        <v>3.8336999999999999</v>
      </c>
      <c r="N38" s="171" t="s">
        <v>17</v>
      </c>
      <c r="O38" s="235"/>
      <c r="P38" s="90">
        <f t="shared" si="3"/>
        <v>3.8336999999999999</v>
      </c>
      <c r="Q38" s="330" t="s">
        <v>1872</v>
      </c>
      <c r="R38" s="726"/>
      <c r="S38" s="276">
        <v>42203</v>
      </c>
      <c r="T38" s="35"/>
      <c r="U38" s="1"/>
      <c r="V38" s="50"/>
      <c r="W38" s="50"/>
      <c r="X38" s="60"/>
      <c r="Y38" s="60"/>
      <c r="Z38" s="61"/>
      <c r="AA38" s="62"/>
      <c r="AB38" s="115"/>
      <c r="AC38" s="117"/>
    </row>
    <row r="39" spans="1:29" s="58" customFormat="1" ht="21" customHeight="1">
      <c r="A39" s="359" t="s">
        <v>66</v>
      </c>
      <c r="B39" s="79"/>
      <c r="C39" s="80"/>
      <c r="D39" s="169" t="s">
        <v>589</v>
      </c>
      <c r="E39" s="181" t="s">
        <v>44</v>
      </c>
      <c r="F39" s="320">
        <v>41291</v>
      </c>
      <c r="G39" s="625"/>
      <c r="H39" s="626"/>
      <c r="I39" s="624"/>
      <c r="J39" s="719" t="s">
        <v>389</v>
      </c>
      <c r="K39" s="133" t="s">
        <v>494</v>
      </c>
      <c r="L39" s="133" t="s">
        <v>43</v>
      </c>
      <c r="M39" s="370">
        <v>5</v>
      </c>
      <c r="N39" s="135" t="s">
        <v>17</v>
      </c>
      <c r="O39" s="235"/>
      <c r="P39" s="90">
        <f t="shared" si="3"/>
        <v>5</v>
      </c>
      <c r="Q39" s="330" t="s">
        <v>1871</v>
      </c>
      <c r="R39" s="726"/>
      <c r="S39" s="276" t="s">
        <v>73</v>
      </c>
      <c r="T39" s="27"/>
      <c r="U39" s="1"/>
      <c r="V39" s="89"/>
      <c r="W39" s="89"/>
      <c r="X39" s="63">
        <v>29.38</v>
      </c>
      <c r="Y39" s="63"/>
      <c r="Z39" s="64"/>
      <c r="AA39" s="65"/>
      <c r="AB39" s="115"/>
      <c r="AC39" s="117"/>
    </row>
    <row r="40" spans="1:29" s="53" customFormat="1" ht="20.25" customHeight="1">
      <c r="A40" s="359" t="s">
        <v>66</v>
      </c>
      <c r="C40" s="84"/>
      <c r="D40" s="169" t="s">
        <v>589</v>
      </c>
      <c r="E40" s="181" t="s">
        <v>121</v>
      </c>
      <c r="F40" s="310">
        <v>41921</v>
      </c>
      <c r="G40" s="633"/>
      <c r="H40" s="634"/>
      <c r="I40" s="624"/>
      <c r="J40" s="719" t="s">
        <v>428</v>
      </c>
      <c r="K40" s="133" t="s">
        <v>125</v>
      </c>
      <c r="L40" s="133" t="s">
        <v>124</v>
      </c>
      <c r="M40" s="368">
        <v>3.9</v>
      </c>
      <c r="N40" s="171" t="s">
        <v>18</v>
      </c>
      <c r="O40" s="235"/>
      <c r="P40" s="90">
        <f t="shared" si="3"/>
        <v>3.9</v>
      </c>
      <c r="Q40" s="330" t="s">
        <v>1873</v>
      </c>
      <c r="R40" s="726"/>
      <c r="S40" s="286">
        <v>42819</v>
      </c>
      <c r="T40" s="11"/>
      <c r="U40"/>
      <c r="V40" s="739"/>
      <c r="W40" s="739"/>
      <c r="X40" s="63">
        <v>29.61</v>
      </c>
      <c r="Y40" s="63"/>
      <c r="Z40" s="64"/>
      <c r="AA40" s="65"/>
      <c r="AB40" s="115"/>
      <c r="AC40" s="117"/>
    </row>
    <row r="41" spans="1:29" ht="20.25" customHeight="1">
      <c r="A41" s="359" t="s">
        <v>66</v>
      </c>
      <c r="D41" s="169" t="s">
        <v>589</v>
      </c>
      <c r="E41" s="181" t="s">
        <v>121</v>
      </c>
      <c r="F41" s="310">
        <v>41921</v>
      </c>
      <c r="G41" s="633"/>
      <c r="H41" s="634"/>
      <c r="I41" s="624"/>
      <c r="J41" s="719" t="s">
        <v>428</v>
      </c>
      <c r="K41" s="133" t="s">
        <v>125</v>
      </c>
      <c r="L41" s="133" t="s">
        <v>124</v>
      </c>
      <c r="M41" s="368">
        <v>2</v>
      </c>
      <c r="N41" s="171" t="s">
        <v>18</v>
      </c>
      <c r="O41" s="235"/>
      <c r="P41" s="90">
        <f t="shared" si="3"/>
        <v>2</v>
      </c>
      <c r="Q41" s="272" t="s">
        <v>594</v>
      </c>
      <c r="R41" s="726"/>
      <c r="S41" s="286">
        <v>42911</v>
      </c>
      <c r="T41" s="11"/>
      <c r="V41" s="36"/>
      <c r="W41" s="36"/>
      <c r="X41" s="63">
        <v>29.61</v>
      </c>
      <c r="Y41" s="63"/>
      <c r="Z41" s="64"/>
      <c r="AA41" s="65"/>
      <c r="AB41" s="115"/>
      <c r="AC41" s="117"/>
    </row>
    <row r="42" spans="1:29" ht="19.5" customHeight="1">
      <c r="A42" s="359" t="s">
        <v>66</v>
      </c>
      <c r="D42" s="169" t="s">
        <v>589</v>
      </c>
      <c r="E42" s="181"/>
      <c r="F42" s="310" t="s">
        <v>223</v>
      </c>
      <c r="G42" s="625"/>
      <c r="H42" s="626"/>
      <c r="I42" s="624"/>
      <c r="J42" s="719" t="s">
        <v>426</v>
      </c>
      <c r="K42" s="133" t="s">
        <v>226</v>
      </c>
      <c r="L42" s="133"/>
      <c r="M42" s="370">
        <v>6</v>
      </c>
      <c r="N42" s="259" t="s">
        <v>1160</v>
      </c>
      <c r="O42" s="235"/>
      <c r="P42" s="90">
        <f t="shared" si="3"/>
        <v>6</v>
      </c>
      <c r="Q42" s="270" t="s">
        <v>595</v>
      </c>
      <c r="R42" s="726"/>
      <c r="S42" s="553" t="s">
        <v>1558</v>
      </c>
      <c r="T42" s="11"/>
      <c r="V42" s="36"/>
      <c r="W42" s="36"/>
      <c r="X42" s="63"/>
      <c r="Y42" s="63"/>
      <c r="Z42" s="64"/>
      <c r="AA42" s="65"/>
      <c r="AB42" s="115"/>
      <c r="AC42" s="117"/>
    </row>
    <row r="43" spans="1:29" s="168" customFormat="1" ht="18.75" customHeight="1">
      <c r="A43" s="359" t="s">
        <v>71</v>
      </c>
      <c r="B43" s="157"/>
      <c r="C43" s="158"/>
      <c r="D43" s="123" t="s">
        <v>464</v>
      </c>
      <c r="E43" s="124" t="s">
        <v>574</v>
      </c>
      <c r="F43" s="320" t="s">
        <v>1693</v>
      </c>
      <c r="G43" s="625"/>
      <c r="H43" s="626"/>
      <c r="I43" s="624"/>
      <c r="J43" s="517" t="s">
        <v>1695</v>
      </c>
      <c r="K43" s="125" t="s">
        <v>1301</v>
      </c>
      <c r="L43" s="133" t="s">
        <v>77</v>
      </c>
      <c r="M43" s="370">
        <v>11</v>
      </c>
      <c r="N43" s="127" t="s">
        <v>17</v>
      </c>
      <c r="O43" s="235"/>
      <c r="P43" s="90">
        <f t="shared" si="3"/>
        <v>11</v>
      </c>
      <c r="Q43" s="283"/>
      <c r="R43" s="726"/>
      <c r="S43" s="550">
        <v>43816</v>
      </c>
      <c r="T43" s="159"/>
      <c r="U43" s="160"/>
      <c r="V43" s="512"/>
      <c r="W43" s="160"/>
      <c r="X43" s="163"/>
      <c r="Y43" s="163"/>
      <c r="Z43" s="164"/>
      <c r="AA43" s="165"/>
      <c r="AB43" s="166"/>
      <c r="AC43" s="167"/>
    </row>
    <row r="44" spans="1:29" ht="19.5" customHeight="1">
      <c r="A44" s="359" t="s">
        <v>20</v>
      </c>
      <c r="D44" s="123" t="s">
        <v>829</v>
      </c>
      <c r="E44" s="181"/>
      <c r="F44" s="310">
        <v>43446</v>
      </c>
      <c r="G44" s="625"/>
      <c r="H44" s="626"/>
      <c r="I44" s="624"/>
      <c r="J44" s="719" t="s">
        <v>1618</v>
      </c>
      <c r="K44" s="133" t="s">
        <v>1619</v>
      </c>
      <c r="L44" s="133" t="s">
        <v>1620</v>
      </c>
      <c r="M44" s="370">
        <v>110</v>
      </c>
      <c r="N44" s="259" t="s">
        <v>1160</v>
      </c>
      <c r="O44" s="235"/>
      <c r="P44" s="90">
        <f t="shared" si="3"/>
        <v>110</v>
      </c>
      <c r="Q44" s="270" t="s">
        <v>1629</v>
      </c>
      <c r="R44" s="726"/>
      <c r="S44" s="288" t="s">
        <v>168</v>
      </c>
      <c r="T44" s="11"/>
      <c r="V44" s="36"/>
      <c r="W44" s="36"/>
      <c r="X44" s="63"/>
      <c r="Y44" s="63"/>
      <c r="Z44" s="64"/>
      <c r="AA44" s="65"/>
      <c r="AB44" s="115"/>
      <c r="AC44" s="117"/>
    </row>
    <row r="45" spans="1:29" ht="19.5" customHeight="1">
      <c r="A45" s="359" t="s">
        <v>20</v>
      </c>
      <c r="D45" s="123" t="s">
        <v>829</v>
      </c>
      <c r="E45" s="181"/>
      <c r="F45" s="310">
        <v>43446</v>
      </c>
      <c r="G45" s="625"/>
      <c r="H45" s="626"/>
      <c r="I45" s="624"/>
      <c r="J45" s="719" t="s">
        <v>1621</v>
      </c>
      <c r="K45" s="133" t="s">
        <v>1622</v>
      </c>
      <c r="L45" s="133" t="s">
        <v>1623</v>
      </c>
      <c r="M45" s="370">
        <v>50</v>
      </c>
      <c r="N45" s="259" t="s">
        <v>1160</v>
      </c>
      <c r="O45" s="235"/>
      <c r="P45" s="90">
        <f t="shared" si="3"/>
        <v>50</v>
      </c>
      <c r="Q45" s="270" t="s">
        <v>1630</v>
      </c>
      <c r="R45" s="726"/>
      <c r="S45" s="288" t="s">
        <v>168</v>
      </c>
      <c r="T45" s="11"/>
      <c r="V45" s="36"/>
      <c r="W45" s="36"/>
      <c r="X45" s="63"/>
      <c r="Y45" s="63"/>
      <c r="Z45" s="64"/>
      <c r="AA45" s="65"/>
      <c r="AB45" s="115"/>
      <c r="AC45" s="117"/>
    </row>
    <row r="46" spans="1:29" ht="19.5" customHeight="1">
      <c r="A46" s="359" t="s">
        <v>20</v>
      </c>
      <c r="D46" s="123" t="s">
        <v>829</v>
      </c>
      <c r="E46" s="181"/>
      <c r="F46" s="310">
        <v>43446</v>
      </c>
      <c r="G46" s="625"/>
      <c r="H46" s="626"/>
      <c r="I46" s="624"/>
      <c r="J46" s="719" t="s">
        <v>1621</v>
      </c>
      <c r="K46" s="133" t="s">
        <v>1622</v>
      </c>
      <c r="L46" s="133" t="s">
        <v>1623</v>
      </c>
      <c r="M46" s="370">
        <v>60</v>
      </c>
      <c r="N46" s="259" t="s">
        <v>1160</v>
      </c>
      <c r="O46" s="235"/>
      <c r="P46" s="90">
        <f t="shared" si="3"/>
        <v>60</v>
      </c>
      <c r="Q46" s="270" t="s">
        <v>1631</v>
      </c>
      <c r="R46" s="726"/>
      <c r="S46" s="288" t="s">
        <v>168</v>
      </c>
      <c r="T46" s="11"/>
      <c r="V46" s="739"/>
      <c r="W46" s="739"/>
      <c r="X46" s="63"/>
      <c r="Y46" s="63"/>
      <c r="Z46" s="64"/>
      <c r="AA46" s="65"/>
      <c r="AB46" s="115"/>
      <c r="AC46" s="117"/>
    </row>
    <row r="47" spans="1:29" ht="19.5" customHeight="1">
      <c r="A47" s="359" t="s">
        <v>20</v>
      </c>
      <c r="D47" s="123" t="s">
        <v>829</v>
      </c>
      <c r="E47" s="181"/>
      <c r="F47" s="310">
        <v>43446</v>
      </c>
      <c r="G47" s="625"/>
      <c r="H47" s="626"/>
      <c r="I47" s="624"/>
      <c r="J47" s="719" t="s">
        <v>1621</v>
      </c>
      <c r="K47" s="133" t="s">
        <v>1622</v>
      </c>
      <c r="L47" s="133" t="s">
        <v>1623</v>
      </c>
      <c r="M47" s="370">
        <v>60</v>
      </c>
      <c r="N47" s="259" t="s">
        <v>1160</v>
      </c>
      <c r="O47" s="235"/>
      <c r="P47" s="90">
        <f t="shared" si="3"/>
        <v>60</v>
      </c>
      <c r="Q47" s="270" t="s">
        <v>1632</v>
      </c>
      <c r="R47" s="726"/>
      <c r="S47" s="288" t="s">
        <v>168</v>
      </c>
      <c r="T47" s="11"/>
      <c r="V47" s="36"/>
      <c r="W47" s="36"/>
      <c r="X47" s="63"/>
      <c r="Y47" s="63"/>
      <c r="Z47" s="64"/>
      <c r="AA47" s="65"/>
      <c r="AB47" s="115"/>
      <c r="AC47" s="117"/>
    </row>
    <row r="48" spans="1:29" ht="19.5" customHeight="1">
      <c r="A48" s="359" t="s">
        <v>20</v>
      </c>
      <c r="D48" s="123" t="s">
        <v>829</v>
      </c>
      <c r="E48" s="181"/>
      <c r="F48" s="310">
        <v>43446</v>
      </c>
      <c r="G48" s="625"/>
      <c r="H48" s="626"/>
      <c r="I48" s="624"/>
      <c r="J48" s="719" t="s">
        <v>1621</v>
      </c>
      <c r="K48" s="133" t="s">
        <v>1622</v>
      </c>
      <c r="L48" s="133" t="s">
        <v>1623</v>
      </c>
      <c r="M48" s="370">
        <v>60</v>
      </c>
      <c r="N48" s="259" t="s">
        <v>1160</v>
      </c>
      <c r="O48" s="235"/>
      <c r="P48" s="90">
        <f t="shared" si="3"/>
        <v>60</v>
      </c>
      <c r="Q48" s="270" t="s">
        <v>1633</v>
      </c>
      <c r="R48" s="726"/>
      <c r="S48" s="288" t="s">
        <v>168</v>
      </c>
      <c r="T48" s="11"/>
      <c r="V48" s="36"/>
      <c r="W48" s="36"/>
      <c r="X48" s="63"/>
      <c r="Y48" s="63"/>
      <c r="Z48" s="64"/>
      <c r="AA48" s="65"/>
      <c r="AB48" s="115"/>
      <c r="AC48" s="117"/>
    </row>
    <row r="49" spans="1:68" ht="19.5" customHeight="1">
      <c r="A49" s="359" t="s">
        <v>20</v>
      </c>
      <c r="D49" s="123" t="s">
        <v>829</v>
      </c>
      <c r="E49" s="181"/>
      <c r="F49" s="310">
        <v>43446</v>
      </c>
      <c r="G49" s="625"/>
      <c r="H49" s="626"/>
      <c r="I49" s="624"/>
      <c r="J49" s="719" t="s">
        <v>1621</v>
      </c>
      <c r="K49" s="133" t="s">
        <v>1622</v>
      </c>
      <c r="L49" s="133" t="s">
        <v>1623</v>
      </c>
      <c r="M49" s="370">
        <v>60</v>
      </c>
      <c r="N49" s="259" t="s">
        <v>1160</v>
      </c>
      <c r="O49" s="235"/>
      <c r="P49" s="90">
        <f t="shared" si="3"/>
        <v>60</v>
      </c>
      <c r="Q49" s="270" t="s">
        <v>1634</v>
      </c>
      <c r="R49" s="726"/>
      <c r="S49" s="288" t="s">
        <v>168</v>
      </c>
      <c r="T49" s="11"/>
      <c r="V49" s="36"/>
      <c r="W49" s="36"/>
      <c r="X49" s="63"/>
      <c r="Y49" s="63"/>
      <c r="Z49" s="64"/>
      <c r="AA49" s="65"/>
      <c r="AB49" s="115"/>
      <c r="AC49" s="117"/>
    </row>
    <row r="50" spans="1:68" ht="19.5" customHeight="1">
      <c r="A50" s="359" t="s">
        <v>20</v>
      </c>
      <c r="D50" s="123" t="s">
        <v>829</v>
      </c>
      <c r="E50" s="181"/>
      <c r="F50" s="310">
        <v>43446</v>
      </c>
      <c r="G50" s="625"/>
      <c r="H50" s="626"/>
      <c r="I50" s="624"/>
      <c r="J50" s="719" t="s">
        <v>1618</v>
      </c>
      <c r="K50" s="133" t="s">
        <v>1619</v>
      </c>
      <c r="L50" s="133" t="s">
        <v>1620</v>
      </c>
      <c r="M50" s="370">
        <v>40</v>
      </c>
      <c r="N50" s="259" t="s">
        <v>1160</v>
      </c>
      <c r="O50" s="235"/>
      <c r="P50" s="90">
        <f t="shared" si="3"/>
        <v>40</v>
      </c>
      <c r="Q50" s="270" t="s">
        <v>1635</v>
      </c>
      <c r="R50" s="726"/>
      <c r="S50" s="288" t="s">
        <v>168</v>
      </c>
      <c r="T50" s="11"/>
      <c r="V50" s="36"/>
      <c r="W50" s="36"/>
      <c r="X50" s="63"/>
      <c r="Y50" s="63"/>
      <c r="Z50" s="64"/>
      <c r="AA50" s="65"/>
      <c r="AB50" s="115"/>
      <c r="AC50" s="117"/>
    </row>
    <row r="51" spans="1:68" ht="19.5" customHeight="1">
      <c r="A51" s="359" t="s">
        <v>20</v>
      </c>
      <c r="D51" s="123" t="s">
        <v>829</v>
      </c>
      <c r="E51" s="181"/>
      <c r="F51" s="310">
        <v>43446</v>
      </c>
      <c r="G51" s="625"/>
      <c r="H51" s="626"/>
      <c r="I51" s="624"/>
      <c r="J51" s="719" t="s">
        <v>1618</v>
      </c>
      <c r="K51" s="133" t="s">
        <v>1619</v>
      </c>
      <c r="L51" s="133" t="s">
        <v>1376</v>
      </c>
      <c r="M51" s="370">
        <v>9</v>
      </c>
      <c r="N51" s="259" t="s">
        <v>1160</v>
      </c>
      <c r="O51" s="235"/>
      <c r="P51" s="90">
        <f t="shared" si="3"/>
        <v>9</v>
      </c>
      <c r="Q51" s="270" t="s">
        <v>1636</v>
      </c>
      <c r="R51" s="726"/>
      <c r="S51" s="288" t="s">
        <v>168</v>
      </c>
      <c r="T51" s="11"/>
      <c r="V51" s="739"/>
      <c r="W51" s="739"/>
      <c r="X51" s="63"/>
      <c r="Y51" s="63"/>
      <c r="Z51" s="64"/>
      <c r="AA51" s="65"/>
      <c r="AB51" s="115"/>
      <c r="AC51" s="117"/>
    </row>
    <row r="52" spans="1:68" ht="19.5" customHeight="1">
      <c r="A52" s="359" t="s">
        <v>20</v>
      </c>
      <c r="D52" s="123" t="s">
        <v>829</v>
      </c>
      <c r="E52" s="181"/>
      <c r="F52" s="310">
        <v>43446</v>
      </c>
      <c r="G52" s="625"/>
      <c r="H52" s="626"/>
      <c r="I52" s="624"/>
      <c r="J52" s="719" t="s">
        <v>1621</v>
      </c>
      <c r="K52" s="133" t="s">
        <v>1622</v>
      </c>
      <c r="L52" s="133" t="s">
        <v>1373</v>
      </c>
      <c r="M52" s="370">
        <v>18</v>
      </c>
      <c r="N52" s="259" t="s">
        <v>1160</v>
      </c>
      <c r="O52" s="235"/>
      <c r="P52" s="90">
        <f t="shared" si="3"/>
        <v>18</v>
      </c>
      <c r="Q52" s="270" t="s">
        <v>1637</v>
      </c>
      <c r="R52" s="726"/>
      <c r="S52" s="288" t="s">
        <v>168</v>
      </c>
      <c r="T52" s="11"/>
      <c r="V52" s="36"/>
      <c r="W52" s="36"/>
      <c r="X52" s="63"/>
      <c r="Y52" s="63"/>
      <c r="Z52" s="64"/>
      <c r="AA52" s="65"/>
      <c r="AB52" s="115"/>
      <c r="AC52" s="117"/>
    </row>
    <row r="53" spans="1:68" ht="20.25" customHeight="1">
      <c r="A53" s="359" t="s">
        <v>20</v>
      </c>
      <c r="D53" s="261" t="s">
        <v>465</v>
      </c>
      <c r="E53" s="262"/>
      <c r="F53" s="322"/>
      <c r="G53" s="627"/>
      <c r="H53" s="631"/>
      <c r="I53" s="624"/>
      <c r="J53" s="516" t="s">
        <v>1211</v>
      </c>
      <c r="K53" s="258" t="s">
        <v>546</v>
      </c>
      <c r="L53" s="354" t="s">
        <v>1212</v>
      </c>
      <c r="M53" s="371">
        <v>1</v>
      </c>
      <c r="N53" s="263" t="s">
        <v>268</v>
      </c>
      <c r="O53" s="235"/>
      <c r="P53" s="90">
        <f t="shared" si="3"/>
        <v>1</v>
      </c>
      <c r="Q53" s="329"/>
      <c r="R53" s="726"/>
      <c r="S53" s="337" t="s">
        <v>168</v>
      </c>
      <c r="T53" s="54"/>
      <c r="U53" s="73"/>
      <c r="V53" s="74"/>
      <c r="W53" s="73"/>
      <c r="X53" s="66"/>
      <c r="Y53" s="66"/>
      <c r="Z53" s="67"/>
      <c r="AA53" s="68"/>
      <c r="AB53" s="142"/>
      <c r="AC53" s="117"/>
    </row>
    <row r="54" spans="1:68" ht="20.25" customHeight="1">
      <c r="A54" s="359" t="s">
        <v>28</v>
      </c>
      <c r="C54" s="84"/>
      <c r="D54" s="261" t="s">
        <v>709</v>
      </c>
      <c r="E54" s="262"/>
      <c r="F54" s="322"/>
      <c r="G54" s="627"/>
      <c r="H54" s="631"/>
      <c r="I54" s="624"/>
      <c r="J54" s="520" t="s">
        <v>1211</v>
      </c>
      <c r="K54" s="258" t="s">
        <v>546</v>
      </c>
      <c r="L54" s="354" t="s">
        <v>1212</v>
      </c>
      <c r="M54" s="371">
        <v>1</v>
      </c>
      <c r="N54" s="263" t="s">
        <v>268</v>
      </c>
      <c r="O54" s="235"/>
      <c r="P54" s="90">
        <f t="shared" si="3"/>
        <v>1</v>
      </c>
      <c r="Q54" s="329"/>
      <c r="R54" s="726"/>
      <c r="S54" s="337" t="s">
        <v>168</v>
      </c>
      <c r="T54" s="54"/>
      <c r="U54" s="73"/>
      <c r="V54" s="74"/>
      <c r="W54" s="73"/>
      <c r="X54" s="66"/>
      <c r="Y54" s="66"/>
      <c r="Z54" s="67"/>
      <c r="AA54" s="68"/>
      <c r="AB54" s="142"/>
      <c r="AC54" s="117"/>
    </row>
    <row r="55" spans="1:68" s="81" customFormat="1" ht="23.25" customHeight="1">
      <c r="A55" s="359" t="s">
        <v>52</v>
      </c>
      <c r="B55" s="53"/>
      <c r="C55" s="84"/>
      <c r="D55" s="123" t="s">
        <v>975</v>
      </c>
      <c r="E55" s="233" t="s">
        <v>1856</v>
      </c>
      <c r="F55" s="319" t="s">
        <v>1935</v>
      </c>
      <c r="G55" s="627"/>
      <c r="H55" s="627"/>
      <c r="I55" s="628"/>
      <c r="J55" s="718" t="s">
        <v>1905</v>
      </c>
      <c r="K55" s="234" t="s">
        <v>1858</v>
      </c>
      <c r="L55" s="234" t="s">
        <v>1859</v>
      </c>
      <c r="M55" s="380">
        <v>54</v>
      </c>
      <c r="N55" s="127" t="s">
        <v>17</v>
      </c>
      <c r="O55" s="126"/>
      <c r="P55" s="90">
        <f t="shared" si="3"/>
        <v>54</v>
      </c>
      <c r="Q55" s="604"/>
      <c r="R55" s="726"/>
      <c r="S55" s="288" t="s">
        <v>168</v>
      </c>
      <c r="T55" s="565"/>
      <c r="V55" s="82"/>
      <c r="X55" s="60"/>
      <c r="Y55" s="60"/>
      <c r="Z55" s="61"/>
      <c r="AA55" s="62"/>
    </row>
    <row r="56" spans="1:68" s="648" customFormat="1" ht="21.95" customHeight="1">
      <c r="A56" s="359" t="s">
        <v>66</v>
      </c>
      <c r="C56" s="677"/>
      <c r="D56" s="123" t="s">
        <v>646</v>
      </c>
      <c r="E56" s="678" t="s">
        <v>1504</v>
      </c>
      <c r="F56" s="639">
        <v>43560</v>
      </c>
      <c r="G56" s="627"/>
      <c r="H56" s="627"/>
      <c r="I56" s="628"/>
      <c r="J56" s="730" t="s">
        <v>1503</v>
      </c>
      <c r="K56" s="731" t="s">
        <v>350</v>
      </c>
      <c r="L56" s="679" t="s">
        <v>348</v>
      </c>
      <c r="M56" s="651">
        <v>33</v>
      </c>
      <c r="N56" s="652" t="s">
        <v>17</v>
      </c>
      <c r="O56" s="663"/>
      <c r="P56" s="381">
        <f t="shared" si="3"/>
        <v>33</v>
      </c>
      <c r="Q56" s="604"/>
      <c r="R56" s="726"/>
      <c r="S56" s="383" t="s">
        <v>1816</v>
      </c>
      <c r="T56" s="653"/>
      <c r="U56" s="654"/>
      <c r="V56" s="655"/>
      <c r="W56" s="654"/>
      <c r="X56" s="656"/>
      <c r="Y56" s="656"/>
      <c r="Z56" s="680"/>
      <c r="AA56" s="681"/>
      <c r="AB56" s="682"/>
      <c r="AC56" s="682"/>
      <c r="AD56" s="682"/>
      <c r="AE56" s="682"/>
      <c r="AF56" s="682"/>
      <c r="AG56" s="682"/>
      <c r="AH56" s="682"/>
      <c r="AI56" s="682"/>
      <c r="AJ56" s="682"/>
      <c r="AK56" s="682"/>
      <c r="AL56" s="682"/>
      <c r="AM56" s="682"/>
      <c r="AN56" s="682"/>
      <c r="AO56" s="682"/>
      <c r="AP56" s="682"/>
      <c r="AQ56" s="682"/>
      <c r="AR56" s="682"/>
      <c r="AS56" s="682"/>
      <c r="AT56" s="682"/>
      <c r="AU56" s="682"/>
      <c r="AV56" s="682"/>
      <c r="AW56" s="682"/>
      <c r="AX56" s="682"/>
      <c r="AY56" s="682"/>
      <c r="AZ56" s="682"/>
      <c r="BA56" s="682"/>
      <c r="BB56" s="682"/>
      <c r="BC56" s="682"/>
      <c r="BD56" s="682"/>
      <c r="BE56" s="682"/>
      <c r="BF56" s="682"/>
      <c r="BG56" s="682"/>
      <c r="BH56" s="682"/>
      <c r="BI56" s="682"/>
      <c r="BJ56" s="682"/>
      <c r="BK56" s="682"/>
      <c r="BL56" s="682"/>
      <c r="BM56" s="682"/>
      <c r="BN56" s="682"/>
      <c r="BO56" s="682"/>
      <c r="BP56" s="682"/>
    </row>
    <row r="57" spans="1:68" s="648" customFormat="1" ht="21.95" customHeight="1">
      <c r="A57" s="359" t="s">
        <v>28</v>
      </c>
      <c r="C57" s="677"/>
      <c r="D57" s="123" t="s">
        <v>485</v>
      </c>
      <c r="E57" s="678" t="s">
        <v>1596</v>
      </c>
      <c r="F57" s="639" t="s">
        <v>1902</v>
      </c>
      <c r="G57" s="627"/>
      <c r="H57" s="627"/>
      <c r="I57" s="628"/>
      <c r="J57" s="730" t="s">
        <v>1586</v>
      </c>
      <c r="K57" s="731" t="s">
        <v>1011</v>
      </c>
      <c r="L57" s="679" t="s">
        <v>83</v>
      </c>
      <c r="M57" s="651">
        <v>20</v>
      </c>
      <c r="N57" s="652" t="s">
        <v>1903</v>
      </c>
      <c r="O57" s="663"/>
      <c r="P57" s="381">
        <f t="shared" si="3"/>
        <v>20</v>
      </c>
      <c r="Q57" s="753"/>
      <c r="R57" s="726"/>
      <c r="S57" s="383" t="s">
        <v>1904</v>
      </c>
      <c r="T57" s="653"/>
      <c r="U57" s="654"/>
      <c r="V57" s="655"/>
      <c r="W57" s="654"/>
      <c r="X57" s="656"/>
      <c r="Y57" s="656"/>
      <c r="Z57" s="680"/>
      <c r="AA57" s="681"/>
      <c r="AB57" s="682"/>
      <c r="AC57" s="682"/>
      <c r="AD57" s="682"/>
      <c r="AE57" s="682"/>
      <c r="AF57" s="682"/>
      <c r="AG57" s="682"/>
      <c r="AH57" s="682"/>
      <c r="AI57" s="682"/>
      <c r="AJ57" s="682"/>
      <c r="AK57" s="682"/>
      <c r="AL57" s="682"/>
      <c r="AM57" s="682"/>
      <c r="AN57" s="682"/>
      <c r="AO57" s="682"/>
      <c r="AP57" s="682"/>
      <c r="AQ57" s="682"/>
      <c r="AR57" s="682"/>
      <c r="AS57" s="682"/>
      <c r="AT57" s="682"/>
      <c r="AU57" s="682"/>
      <c r="AV57" s="682"/>
      <c r="AW57" s="682"/>
      <c r="AX57" s="682"/>
      <c r="AY57" s="682"/>
      <c r="AZ57" s="682"/>
      <c r="BA57" s="682"/>
      <c r="BB57" s="682"/>
      <c r="BC57" s="682"/>
      <c r="BD57" s="682"/>
      <c r="BE57" s="682"/>
      <c r="BF57" s="682"/>
      <c r="BG57" s="682"/>
      <c r="BH57" s="682"/>
      <c r="BI57" s="682"/>
      <c r="BJ57" s="682"/>
      <c r="BK57" s="682"/>
      <c r="BL57" s="682"/>
      <c r="BM57" s="682"/>
      <c r="BN57" s="682"/>
      <c r="BO57" s="682"/>
      <c r="BP57" s="682"/>
    </row>
    <row r="58" spans="1:68" s="648" customFormat="1" ht="21.95" customHeight="1">
      <c r="A58" s="359" t="s">
        <v>20</v>
      </c>
      <c r="C58" s="677"/>
      <c r="D58" s="123" t="s">
        <v>788</v>
      </c>
      <c r="E58" s="678" t="s">
        <v>30</v>
      </c>
      <c r="F58" s="639" t="s">
        <v>1801</v>
      </c>
      <c r="G58" s="627"/>
      <c r="H58" s="627"/>
      <c r="I58" s="628"/>
      <c r="J58" s="730" t="s">
        <v>30</v>
      </c>
      <c r="K58" s="731"/>
      <c r="L58" s="679"/>
      <c r="M58" s="651">
        <v>1</v>
      </c>
      <c r="N58" s="652" t="s">
        <v>1814</v>
      </c>
      <c r="O58" s="663"/>
      <c r="P58" s="381">
        <f t="shared" ref="P58:P65" si="4">IF(O58="",M58,M58-O58)</f>
        <v>1</v>
      </c>
      <c r="Q58" s="753" t="s">
        <v>2052</v>
      </c>
      <c r="R58" s="726"/>
      <c r="S58" s="383"/>
      <c r="T58" s="653"/>
      <c r="U58" s="654"/>
      <c r="V58" s="655"/>
      <c r="W58" s="654"/>
      <c r="X58" s="656"/>
      <c r="Y58" s="656"/>
      <c r="Z58" s="680"/>
      <c r="AA58" s="681"/>
      <c r="AB58" s="682"/>
      <c r="AC58" s="682"/>
      <c r="AD58" s="682"/>
      <c r="AE58" s="682"/>
      <c r="AF58" s="682"/>
      <c r="AG58" s="682"/>
      <c r="AH58" s="682"/>
      <c r="AI58" s="682"/>
      <c r="AJ58" s="682"/>
      <c r="AK58" s="682"/>
      <c r="AL58" s="682"/>
      <c r="AM58" s="682"/>
      <c r="AN58" s="682"/>
      <c r="AO58" s="682"/>
      <c r="AP58" s="682"/>
      <c r="AQ58" s="682"/>
      <c r="AR58" s="682"/>
      <c r="AS58" s="682"/>
      <c r="AT58" s="682"/>
      <c r="AU58" s="682"/>
      <c r="AV58" s="682"/>
      <c r="AW58" s="682"/>
      <c r="AX58" s="682"/>
      <c r="AY58" s="682"/>
      <c r="AZ58" s="682"/>
      <c r="BA58" s="682"/>
      <c r="BB58" s="682"/>
      <c r="BC58" s="682"/>
      <c r="BD58" s="682"/>
      <c r="BE58" s="682"/>
      <c r="BF58" s="682"/>
      <c r="BG58" s="682"/>
      <c r="BH58" s="682"/>
      <c r="BI58" s="682"/>
      <c r="BJ58" s="682"/>
      <c r="BK58" s="682"/>
      <c r="BL58" s="682"/>
      <c r="BM58" s="682"/>
      <c r="BN58" s="682"/>
      <c r="BO58" s="682"/>
      <c r="BP58" s="682"/>
    </row>
    <row r="59" spans="1:68" ht="20.25" customHeight="1">
      <c r="A59" s="359" t="s">
        <v>52</v>
      </c>
      <c r="C59" s="84"/>
      <c r="D59" s="123" t="s">
        <v>463</v>
      </c>
      <c r="E59" s="124" t="s">
        <v>2091</v>
      </c>
      <c r="F59" s="323" t="s">
        <v>2085</v>
      </c>
      <c r="G59" s="627"/>
      <c r="H59" s="631"/>
      <c r="I59" s="624" t="s">
        <v>2352</v>
      </c>
      <c r="J59" s="506" t="s">
        <v>2097</v>
      </c>
      <c r="K59" s="125" t="s">
        <v>2095</v>
      </c>
      <c r="L59" s="133" t="s">
        <v>2096</v>
      </c>
      <c r="M59" s="370">
        <v>5.75</v>
      </c>
      <c r="N59" s="171" t="s">
        <v>17</v>
      </c>
      <c r="O59" s="235"/>
      <c r="P59" s="90">
        <f t="shared" si="4"/>
        <v>5.75</v>
      </c>
      <c r="Q59" s="271"/>
      <c r="R59" s="726"/>
      <c r="S59" s="288" t="s">
        <v>2066</v>
      </c>
      <c r="T59" s="54"/>
      <c r="U59" s="73"/>
      <c r="V59" s="74"/>
      <c r="W59" s="73"/>
      <c r="X59" s="66"/>
      <c r="Y59" s="66"/>
      <c r="Z59" s="67"/>
      <c r="AA59" s="68"/>
      <c r="AB59" s="142"/>
      <c r="AC59" s="117"/>
    </row>
    <row r="60" spans="1:68" s="168" customFormat="1" ht="21.75" customHeight="1">
      <c r="A60" s="359" t="s">
        <v>20</v>
      </c>
      <c r="B60" s="157"/>
      <c r="C60" s="158"/>
      <c r="D60" s="123" t="s">
        <v>463</v>
      </c>
      <c r="E60" s="124" t="s">
        <v>2205</v>
      </c>
      <c r="F60" s="320">
        <v>43676</v>
      </c>
      <c r="G60" s="625"/>
      <c r="H60" s="626"/>
      <c r="I60" s="624"/>
      <c r="J60" s="506" t="s">
        <v>2206</v>
      </c>
      <c r="K60" s="125" t="s">
        <v>341</v>
      </c>
      <c r="L60" s="133" t="s">
        <v>6</v>
      </c>
      <c r="M60" s="714">
        <v>7</v>
      </c>
      <c r="N60" s="127" t="s">
        <v>17</v>
      </c>
      <c r="O60" s="235"/>
      <c r="P60" s="90">
        <f t="shared" si="4"/>
        <v>7</v>
      </c>
      <c r="Q60" s="283"/>
      <c r="R60" s="726"/>
      <c r="S60" s="383">
        <v>44350</v>
      </c>
      <c r="T60" s="159"/>
      <c r="U60" s="160"/>
      <c r="V60" s="512"/>
      <c r="W60" s="160"/>
      <c r="X60" s="163"/>
      <c r="Y60" s="163"/>
      <c r="Z60" s="164"/>
      <c r="AA60" s="165"/>
      <c r="AB60" s="166"/>
      <c r="AC60" s="167"/>
    </row>
    <row r="61" spans="1:68" s="648" customFormat="1" ht="21.95" customHeight="1">
      <c r="A61" s="359" t="s">
        <v>20</v>
      </c>
      <c r="C61" s="677"/>
      <c r="D61" s="123" t="s">
        <v>463</v>
      </c>
      <c r="E61" s="678" t="s">
        <v>1496</v>
      </c>
      <c r="F61" s="639" t="s">
        <v>1902</v>
      </c>
      <c r="G61" s="627"/>
      <c r="H61" s="627"/>
      <c r="I61" s="628"/>
      <c r="J61" s="730" t="s">
        <v>1497</v>
      </c>
      <c r="K61" s="731" t="s">
        <v>1498</v>
      </c>
      <c r="L61" s="679" t="s">
        <v>1499</v>
      </c>
      <c r="M61" s="651">
        <v>5</v>
      </c>
      <c r="N61" s="652" t="s">
        <v>17</v>
      </c>
      <c r="O61" s="663"/>
      <c r="P61" s="381">
        <f t="shared" si="4"/>
        <v>5</v>
      </c>
      <c r="Q61" s="753"/>
      <c r="R61" s="726"/>
      <c r="S61" s="383" t="s">
        <v>1916</v>
      </c>
      <c r="T61" s="653"/>
      <c r="U61" s="654"/>
      <c r="V61" s="655"/>
      <c r="W61" s="654"/>
      <c r="X61" s="656"/>
      <c r="Y61" s="656"/>
      <c r="Z61" s="680"/>
      <c r="AA61" s="681"/>
      <c r="AB61" s="682"/>
      <c r="AC61" s="682"/>
      <c r="AD61" s="682"/>
      <c r="AE61" s="682"/>
      <c r="AF61" s="682"/>
      <c r="AG61" s="682"/>
      <c r="AH61" s="682"/>
      <c r="AI61" s="682"/>
      <c r="AJ61" s="682"/>
      <c r="AK61" s="682"/>
      <c r="AL61" s="682"/>
      <c r="AM61" s="682"/>
      <c r="AN61" s="682"/>
      <c r="AO61" s="682"/>
      <c r="AP61" s="682"/>
      <c r="AQ61" s="682"/>
      <c r="AR61" s="682"/>
      <c r="AS61" s="682"/>
      <c r="AT61" s="682"/>
      <c r="AU61" s="682"/>
      <c r="AV61" s="682"/>
      <c r="AW61" s="682"/>
      <c r="AX61" s="682"/>
      <c r="AY61" s="682"/>
      <c r="AZ61" s="682"/>
      <c r="BA61" s="682"/>
      <c r="BB61" s="682"/>
      <c r="BC61" s="682"/>
      <c r="BD61" s="682"/>
      <c r="BE61" s="682"/>
      <c r="BF61" s="682"/>
      <c r="BG61" s="682"/>
      <c r="BH61" s="682"/>
      <c r="BI61" s="682"/>
      <c r="BJ61" s="682"/>
      <c r="BK61" s="682"/>
      <c r="BL61" s="682"/>
      <c r="BM61" s="682"/>
      <c r="BN61" s="682"/>
      <c r="BO61" s="682"/>
      <c r="BP61" s="682"/>
    </row>
    <row r="62" spans="1:68" s="648" customFormat="1" ht="21.95" customHeight="1">
      <c r="A62" s="359" t="s">
        <v>52</v>
      </c>
      <c r="C62" s="677"/>
      <c r="D62" s="123" t="s">
        <v>463</v>
      </c>
      <c r="E62" s="678" t="s">
        <v>1856</v>
      </c>
      <c r="F62" s="639">
        <v>43557</v>
      </c>
      <c r="G62" s="627"/>
      <c r="H62" s="627"/>
      <c r="I62" s="628"/>
      <c r="J62" s="730" t="s">
        <v>1857</v>
      </c>
      <c r="K62" s="731" t="s">
        <v>1858</v>
      </c>
      <c r="L62" s="679" t="s">
        <v>1859</v>
      </c>
      <c r="M62" s="651">
        <v>12</v>
      </c>
      <c r="N62" s="652" t="s">
        <v>17</v>
      </c>
      <c r="O62" s="663">
        <v>2</v>
      </c>
      <c r="P62" s="381">
        <f t="shared" si="4"/>
        <v>10</v>
      </c>
      <c r="Q62" s="753"/>
      <c r="R62" s="752" t="s">
        <v>938</v>
      </c>
      <c r="S62" s="383">
        <v>43833</v>
      </c>
      <c r="T62" s="653"/>
      <c r="U62" s="654"/>
      <c r="V62" s="655"/>
      <c r="W62" s="654"/>
      <c r="X62" s="656"/>
      <c r="Y62" s="656"/>
      <c r="Z62" s="680"/>
      <c r="AA62" s="681"/>
      <c r="AB62" s="682"/>
      <c r="AC62" s="682"/>
      <c r="AD62" s="682"/>
      <c r="AE62" s="682"/>
      <c r="AF62" s="682"/>
      <c r="AG62" s="682"/>
      <c r="AH62" s="682"/>
      <c r="AI62" s="682"/>
      <c r="AJ62" s="682"/>
      <c r="AK62" s="682"/>
      <c r="AL62" s="682"/>
      <c r="AM62" s="682"/>
      <c r="AN62" s="682"/>
      <c r="AO62" s="682"/>
      <c r="AP62" s="682"/>
      <c r="AQ62" s="682"/>
      <c r="AR62" s="682"/>
      <c r="AS62" s="682"/>
      <c r="AT62" s="682"/>
      <c r="AU62" s="682"/>
      <c r="AV62" s="682"/>
      <c r="AW62" s="682"/>
      <c r="AX62" s="682"/>
      <c r="AY62" s="682"/>
      <c r="AZ62" s="682"/>
      <c r="BA62" s="682"/>
      <c r="BB62" s="682"/>
      <c r="BC62" s="682"/>
      <c r="BD62" s="682"/>
      <c r="BE62" s="682"/>
      <c r="BF62" s="682"/>
      <c r="BG62" s="682"/>
      <c r="BH62" s="682"/>
      <c r="BI62" s="682"/>
      <c r="BJ62" s="682"/>
      <c r="BK62" s="682"/>
      <c r="BL62" s="682"/>
      <c r="BM62" s="682"/>
      <c r="BN62" s="682"/>
      <c r="BO62" s="682"/>
      <c r="BP62" s="682"/>
    </row>
    <row r="63" spans="1:68" s="648" customFormat="1" ht="21.95" customHeight="1">
      <c r="A63" s="359" t="s">
        <v>28</v>
      </c>
      <c r="C63" s="677"/>
      <c r="D63" s="123" t="s">
        <v>463</v>
      </c>
      <c r="E63" s="678" t="s">
        <v>1597</v>
      </c>
      <c r="F63" s="639"/>
      <c r="G63" s="627"/>
      <c r="H63" s="627"/>
      <c r="I63" s="628"/>
      <c r="J63" s="730" t="s">
        <v>1598</v>
      </c>
      <c r="K63" s="731" t="s">
        <v>1146</v>
      </c>
      <c r="L63" s="679" t="s">
        <v>1599</v>
      </c>
      <c r="M63" s="651">
        <v>2</v>
      </c>
      <c r="N63" s="652" t="s">
        <v>1134</v>
      </c>
      <c r="O63" s="663"/>
      <c r="P63" s="381">
        <f t="shared" si="4"/>
        <v>2</v>
      </c>
      <c r="Q63" s="753" t="s">
        <v>2128</v>
      </c>
      <c r="R63" s="726"/>
      <c r="S63" s="383">
        <v>44442</v>
      </c>
      <c r="T63" s="653"/>
      <c r="U63" s="654"/>
      <c r="V63" s="655"/>
      <c r="W63" s="654"/>
      <c r="X63" s="656"/>
      <c r="Y63" s="656"/>
      <c r="Z63" s="680"/>
      <c r="AA63" s="681"/>
      <c r="AB63" s="682"/>
      <c r="AC63" s="682"/>
      <c r="AD63" s="682"/>
      <c r="AE63" s="682"/>
      <c r="AF63" s="682"/>
      <c r="AG63" s="682"/>
      <c r="AH63" s="682"/>
      <c r="AI63" s="682"/>
      <c r="AJ63" s="682"/>
      <c r="AK63" s="682"/>
      <c r="AL63" s="682"/>
      <c r="AM63" s="682"/>
      <c r="AN63" s="682"/>
      <c r="AO63" s="682"/>
      <c r="AP63" s="682"/>
      <c r="AQ63" s="682"/>
      <c r="AR63" s="682"/>
      <c r="AS63" s="682"/>
      <c r="AT63" s="682"/>
      <c r="AU63" s="682"/>
      <c r="AV63" s="682"/>
      <c r="AW63" s="682"/>
      <c r="AX63" s="682"/>
      <c r="AY63" s="682"/>
      <c r="AZ63" s="682"/>
      <c r="BA63" s="682"/>
      <c r="BB63" s="682"/>
      <c r="BC63" s="682"/>
      <c r="BD63" s="682"/>
      <c r="BE63" s="682"/>
      <c r="BF63" s="682"/>
      <c r="BG63" s="682"/>
      <c r="BH63" s="682"/>
      <c r="BI63" s="682"/>
      <c r="BJ63" s="682"/>
      <c r="BK63" s="682"/>
      <c r="BL63" s="682"/>
      <c r="BM63" s="682"/>
      <c r="BN63" s="682"/>
      <c r="BO63" s="682"/>
      <c r="BP63" s="682"/>
    </row>
    <row r="64" spans="1:68" s="648" customFormat="1" ht="21.95" customHeight="1">
      <c r="A64" s="377" t="s">
        <v>20</v>
      </c>
      <c r="C64" s="677"/>
      <c r="D64" s="123" t="s">
        <v>463</v>
      </c>
      <c r="E64" s="678" t="s">
        <v>1778</v>
      </c>
      <c r="F64" s="639" t="s">
        <v>1922</v>
      </c>
      <c r="G64" s="627"/>
      <c r="H64" s="627"/>
      <c r="I64" s="628"/>
      <c r="J64" s="730" t="s">
        <v>1929</v>
      </c>
      <c r="K64" s="731" t="s">
        <v>1114</v>
      </c>
      <c r="L64" s="679" t="s">
        <v>293</v>
      </c>
      <c r="M64" s="651">
        <v>5</v>
      </c>
      <c r="N64" s="652" t="s">
        <v>17</v>
      </c>
      <c r="O64" s="663"/>
      <c r="P64" s="381">
        <f t="shared" si="4"/>
        <v>5</v>
      </c>
      <c r="Q64" s="753"/>
      <c r="R64" s="726"/>
      <c r="S64" s="383" t="s">
        <v>1930</v>
      </c>
      <c r="T64" s="653"/>
      <c r="U64" s="654"/>
      <c r="V64" s="655"/>
      <c r="W64" s="654"/>
      <c r="X64" s="656"/>
      <c r="Y64" s="656"/>
      <c r="Z64" s="680"/>
      <c r="AA64" s="681"/>
      <c r="AB64" s="682"/>
      <c r="AC64" s="682"/>
      <c r="AD64" s="682"/>
      <c r="AE64" s="682"/>
      <c r="AF64" s="682"/>
      <c r="AG64" s="682"/>
      <c r="AH64" s="682"/>
      <c r="AI64" s="682"/>
      <c r="AJ64" s="682"/>
      <c r="AK64" s="682"/>
      <c r="AL64" s="682"/>
      <c r="AM64" s="682"/>
      <c r="AN64" s="682"/>
      <c r="AO64" s="682"/>
      <c r="AP64" s="682"/>
      <c r="AQ64" s="682"/>
      <c r="AR64" s="682"/>
      <c r="AS64" s="682"/>
      <c r="AT64" s="682"/>
      <c r="AU64" s="682"/>
      <c r="AV64" s="682"/>
      <c r="AW64" s="682"/>
      <c r="AX64" s="682"/>
      <c r="AY64" s="682"/>
      <c r="AZ64" s="682"/>
      <c r="BA64" s="682"/>
      <c r="BB64" s="682"/>
      <c r="BC64" s="682"/>
      <c r="BD64" s="682"/>
      <c r="BE64" s="682"/>
      <c r="BF64" s="682"/>
      <c r="BG64" s="682"/>
      <c r="BH64" s="682"/>
      <c r="BI64" s="682"/>
      <c r="BJ64" s="682"/>
      <c r="BK64" s="682"/>
      <c r="BL64" s="682"/>
      <c r="BM64" s="682"/>
      <c r="BN64" s="682"/>
      <c r="BO64" s="682"/>
      <c r="BP64" s="682"/>
    </row>
    <row r="65" spans="1:68" s="648" customFormat="1" ht="21.95" customHeight="1">
      <c r="A65" s="359" t="s">
        <v>20</v>
      </c>
      <c r="C65" s="677"/>
      <c r="D65" s="85" t="s">
        <v>463</v>
      </c>
      <c r="E65" s="536" t="s">
        <v>1524</v>
      </c>
      <c r="F65" s="757">
        <v>43368</v>
      </c>
      <c r="G65" s="627"/>
      <c r="H65" s="627"/>
      <c r="I65" s="628"/>
      <c r="J65" s="758" t="s">
        <v>1527</v>
      </c>
      <c r="K65" s="540" t="s">
        <v>1528</v>
      </c>
      <c r="L65" s="759" t="s">
        <v>1463</v>
      </c>
      <c r="M65" s="542">
        <v>0.99</v>
      </c>
      <c r="N65" s="547" t="s">
        <v>17</v>
      </c>
      <c r="O65" s="537">
        <v>0.99</v>
      </c>
      <c r="P65" s="548">
        <f t="shared" si="4"/>
        <v>0</v>
      </c>
      <c r="Q65" s="753" t="s">
        <v>2154</v>
      </c>
      <c r="R65" s="752" t="s">
        <v>777</v>
      </c>
      <c r="S65" s="383" t="s">
        <v>168</v>
      </c>
      <c r="T65" s="653"/>
      <c r="U65" s="654"/>
      <c r="V65" s="655"/>
      <c r="W65" s="654"/>
      <c r="X65" s="656"/>
      <c r="Y65" s="656"/>
      <c r="Z65" s="680"/>
      <c r="AA65" s="681"/>
      <c r="AB65" s="682"/>
      <c r="AC65" s="682"/>
      <c r="AD65" s="682"/>
      <c r="AE65" s="682"/>
      <c r="AF65" s="682"/>
      <c r="AG65" s="682"/>
      <c r="AH65" s="682"/>
      <c r="AI65" s="682"/>
      <c r="AJ65" s="682"/>
      <c r="AK65" s="682"/>
      <c r="AL65" s="682"/>
      <c r="AM65" s="682"/>
      <c r="AN65" s="682"/>
      <c r="AO65" s="682"/>
      <c r="AP65" s="682"/>
      <c r="AQ65" s="682"/>
      <c r="AR65" s="682"/>
      <c r="AS65" s="682"/>
      <c r="AT65" s="682"/>
      <c r="AU65" s="682"/>
      <c r="AV65" s="682"/>
      <c r="AW65" s="682"/>
      <c r="AX65" s="682"/>
      <c r="AY65" s="682"/>
      <c r="AZ65" s="682"/>
      <c r="BA65" s="682"/>
      <c r="BB65" s="682"/>
      <c r="BC65" s="682"/>
      <c r="BD65" s="682"/>
      <c r="BE65" s="682"/>
      <c r="BF65" s="682"/>
      <c r="BG65" s="682"/>
      <c r="BH65" s="682"/>
      <c r="BI65" s="682"/>
      <c r="BJ65" s="682"/>
      <c r="BK65" s="682"/>
      <c r="BL65" s="682"/>
      <c r="BM65" s="682"/>
      <c r="BN65" s="682"/>
      <c r="BO65" s="682"/>
      <c r="BP65" s="682"/>
    </row>
    <row r="66" spans="1:68" ht="20.25">
      <c r="A66" s="377" t="s">
        <v>28</v>
      </c>
      <c r="B66" s="186"/>
      <c r="C66" s="188"/>
      <c r="D66" s="123" t="s">
        <v>463</v>
      </c>
      <c r="E66" s="124" t="s">
        <v>949</v>
      </c>
      <c r="F66" s="639" t="s">
        <v>1988</v>
      </c>
      <c r="G66" s="627"/>
      <c r="H66" s="627"/>
      <c r="I66" s="632"/>
      <c r="J66" s="508" t="s">
        <v>260</v>
      </c>
      <c r="K66" s="379" t="s">
        <v>261</v>
      </c>
      <c r="L66" s="125" t="s">
        <v>212</v>
      </c>
      <c r="M66" s="651">
        <v>0.6</v>
      </c>
      <c r="N66" s="652" t="s">
        <v>17</v>
      </c>
      <c r="O66" s="126"/>
      <c r="P66" s="381">
        <f t="shared" ref="P66:P102" si="5">IF(O66="",M66,M66-O66)</f>
        <v>0.6</v>
      </c>
      <c r="Q66" s="382" t="s">
        <v>2193</v>
      </c>
      <c r="R66" s="726"/>
      <c r="S66" s="383" t="s">
        <v>168</v>
      </c>
      <c r="T66" s="653"/>
      <c r="U66" s="654"/>
      <c r="V66" s="655"/>
      <c r="W66" s="654"/>
      <c r="X66" s="656"/>
      <c r="Y66" s="657"/>
      <c r="Z66" s="658"/>
      <c r="AA66" s="659"/>
      <c r="AB66" s="660"/>
      <c r="AC66" s="660"/>
    </row>
    <row r="67" spans="1:68" ht="20.25">
      <c r="A67" s="377" t="s">
        <v>28</v>
      </c>
      <c r="B67" s="186"/>
      <c r="C67" s="188"/>
      <c r="D67" s="123" t="s">
        <v>463</v>
      </c>
      <c r="E67" s="124" t="s">
        <v>1893</v>
      </c>
      <c r="F67" s="639" t="s">
        <v>1891</v>
      </c>
      <c r="G67" s="627"/>
      <c r="H67" s="627"/>
      <c r="I67" s="632"/>
      <c r="J67" s="508" t="s">
        <v>1892</v>
      </c>
      <c r="K67" s="379" t="s">
        <v>708</v>
      </c>
      <c r="L67" s="125" t="s">
        <v>212</v>
      </c>
      <c r="M67" s="651">
        <v>1</v>
      </c>
      <c r="N67" s="652" t="s">
        <v>17</v>
      </c>
      <c r="O67" s="126"/>
      <c r="P67" s="381">
        <f t="shared" si="5"/>
        <v>1</v>
      </c>
      <c r="Q67" s="382"/>
      <c r="R67" s="726"/>
      <c r="S67" s="383" t="s">
        <v>168</v>
      </c>
      <c r="T67" s="653"/>
      <c r="U67" s="654"/>
      <c r="V67" s="655"/>
      <c r="W67" s="654"/>
      <c r="X67" s="656"/>
      <c r="Y67" s="657"/>
      <c r="Z67" s="658"/>
      <c r="AA67" s="659"/>
      <c r="AB67" s="660"/>
      <c r="AC67" s="660"/>
    </row>
    <row r="68" spans="1:68" s="168" customFormat="1" ht="18.75" customHeight="1">
      <c r="A68" s="359" t="s">
        <v>28</v>
      </c>
      <c r="B68" s="157"/>
      <c r="C68" s="158"/>
      <c r="D68" s="123" t="s">
        <v>463</v>
      </c>
      <c r="E68" s="124" t="s">
        <v>1789</v>
      </c>
      <c r="F68" s="320" t="s">
        <v>1860</v>
      </c>
      <c r="G68" s="625"/>
      <c r="H68" s="626"/>
      <c r="I68" s="632"/>
      <c r="J68" s="506" t="s">
        <v>392</v>
      </c>
      <c r="K68" s="125" t="s">
        <v>217</v>
      </c>
      <c r="L68" s="133" t="s">
        <v>383</v>
      </c>
      <c r="M68" s="370">
        <v>2.5</v>
      </c>
      <c r="N68" s="127" t="s">
        <v>17</v>
      </c>
      <c r="O68" s="235"/>
      <c r="P68" s="90">
        <f t="shared" si="5"/>
        <v>2.5</v>
      </c>
      <c r="Q68" s="526"/>
      <c r="R68" s="726"/>
      <c r="S68" s="277"/>
      <c r="T68" s="159"/>
      <c r="U68" s="160"/>
      <c r="V68" s="161"/>
      <c r="W68" s="162"/>
      <c r="X68" s="163"/>
      <c r="Y68" s="163"/>
      <c r="Z68" s="164"/>
      <c r="AA68" s="165"/>
      <c r="AB68" s="166"/>
      <c r="AC68" s="167"/>
    </row>
    <row r="69" spans="1:68" s="168" customFormat="1" ht="20.25">
      <c r="A69" s="359" t="s">
        <v>28</v>
      </c>
      <c r="B69" s="157"/>
      <c r="C69" s="158"/>
      <c r="D69" s="123" t="s">
        <v>717</v>
      </c>
      <c r="E69" s="124" t="s">
        <v>1813</v>
      </c>
      <c r="F69" s="320" t="s">
        <v>1808</v>
      </c>
      <c r="G69" s="625"/>
      <c r="H69" s="626"/>
      <c r="I69" s="624"/>
      <c r="J69" s="506" t="s">
        <v>1578</v>
      </c>
      <c r="K69" s="125" t="s">
        <v>952</v>
      </c>
      <c r="L69" s="133" t="s">
        <v>1579</v>
      </c>
      <c r="M69" s="370">
        <v>26</v>
      </c>
      <c r="N69" s="171" t="s">
        <v>17</v>
      </c>
      <c r="O69" s="235"/>
      <c r="P69" s="90">
        <f t="shared" si="5"/>
        <v>26</v>
      </c>
      <c r="Q69" s="526"/>
      <c r="R69" s="726"/>
      <c r="S69" s="277">
        <v>43571</v>
      </c>
      <c r="T69" s="159"/>
      <c r="U69" s="160"/>
      <c r="V69" s="512"/>
      <c r="W69" s="160"/>
      <c r="X69" s="163"/>
      <c r="Y69" s="163"/>
      <c r="Z69" s="164"/>
      <c r="AA69" s="165"/>
      <c r="AB69" s="166"/>
      <c r="AC69" s="167"/>
    </row>
    <row r="70" spans="1:68" ht="20.25" customHeight="1">
      <c r="A70" s="359" t="s">
        <v>52</v>
      </c>
      <c r="C70" s="84"/>
      <c r="D70" s="169" t="s">
        <v>529</v>
      </c>
      <c r="E70" s="124" t="s">
        <v>2137</v>
      </c>
      <c r="F70" s="323" t="s">
        <v>2085</v>
      </c>
      <c r="G70" s="627"/>
      <c r="H70" s="631"/>
      <c r="I70" s="624"/>
      <c r="J70" s="506" t="s">
        <v>2134</v>
      </c>
      <c r="K70" s="125" t="s">
        <v>2135</v>
      </c>
      <c r="L70" s="133" t="s">
        <v>2136</v>
      </c>
      <c r="M70" s="370">
        <v>1</v>
      </c>
      <c r="N70" s="171" t="s">
        <v>17</v>
      </c>
      <c r="O70" s="235"/>
      <c r="P70" s="90">
        <f t="shared" si="5"/>
        <v>1</v>
      </c>
      <c r="Q70" s="271"/>
      <c r="R70" s="726"/>
      <c r="S70" s="288" t="s">
        <v>2066</v>
      </c>
      <c r="T70" s="54"/>
      <c r="U70" s="73"/>
      <c r="V70" s="74"/>
      <c r="W70" s="73"/>
      <c r="X70" s="66"/>
      <c r="Y70" s="66"/>
      <c r="Z70" s="67"/>
      <c r="AA70" s="68"/>
      <c r="AB70" s="142"/>
      <c r="AC70" s="117"/>
    </row>
    <row r="71" spans="1:68" s="168" customFormat="1" ht="21.75" customHeight="1">
      <c r="A71" s="359" t="s">
        <v>28</v>
      </c>
      <c r="B71" s="157"/>
      <c r="C71" s="158"/>
      <c r="D71" s="169" t="s">
        <v>529</v>
      </c>
      <c r="E71" s="124" t="s">
        <v>2172</v>
      </c>
      <c r="F71" s="320">
        <v>43641</v>
      </c>
      <c r="G71" s="625"/>
      <c r="H71" s="626"/>
      <c r="I71" s="624" t="s">
        <v>2355</v>
      </c>
      <c r="J71" s="506" t="s">
        <v>2171</v>
      </c>
      <c r="K71" s="125" t="s">
        <v>256</v>
      </c>
      <c r="L71" s="133" t="s">
        <v>83</v>
      </c>
      <c r="M71" s="714">
        <v>12</v>
      </c>
      <c r="N71" s="127" t="s">
        <v>17</v>
      </c>
      <c r="O71" s="235"/>
      <c r="P71" s="90">
        <f t="shared" si="5"/>
        <v>12</v>
      </c>
      <c r="Q71" s="283"/>
      <c r="R71" s="726"/>
      <c r="S71" s="383" t="s">
        <v>168</v>
      </c>
      <c r="T71" s="159"/>
      <c r="U71" s="160"/>
      <c r="V71" s="512"/>
      <c r="W71" s="160"/>
      <c r="X71" s="163"/>
      <c r="Y71" s="163"/>
      <c r="Z71" s="164"/>
      <c r="AA71" s="165"/>
      <c r="AB71" s="166"/>
      <c r="AC71" s="167"/>
    </row>
    <row r="72" spans="1:68" s="141" customFormat="1" ht="20.25" customHeight="1">
      <c r="A72" s="377" t="s">
        <v>20</v>
      </c>
      <c r="B72" s="186"/>
      <c r="C72" s="188"/>
      <c r="D72" s="169" t="s">
        <v>529</v>
      </c>
      <c r="E72" s="124" t="s">
        <v>522</v>
      </c>
      <c r="F72" s="378" t="s">
        <v>1922</v>
      </c>
      <c r="G72" s="627"/>
      <c r="H72" s="631"/>
      <c r="I72" s="624" t="s">
        <v>2356</v>
      </c>
      <c r="J72" s="517" t="s">
        <v>2167</v>
      </c>
      <c r="K72" s="125" t="s">
        <v>1006</v>
      </c>
      <c r="L72" s="125" t="s">
        <v>523</v>
      </c>
      <c r="M72" s="710">
        <v>16</v>
      </c>
      <c r="N72" s="135" t="s">
        <v>17</v>
      </c>
      <c r="O72" s="235"/>
      <c r="P72" s="90">
        <f t="shared" si="5"/>
        <v>16</v>
      </c>
      <c r="Q72" s="382"/>
      <c r="R72" s="726"/>
      <c r="S72" s="383" t="s">
        <v>1846</v>
      </c>
      <c r="T72" s="27"/>
      <c r="U72" s="81"/>
      <c r="V72" s="82"/>
      <c r="W72" s="81"/>
      <c r="X72" s="63"/>
      <c r="Y72" s="139"/>
      <c r="Z72" s="131"/>
      <c r="AA72" s="140"/>
    </row>
    <row r="73" spans="1:68" ht="20.25" customHeight="1">
      <c r="A73" s="359" t="s">
        <v>52</v>
      </c>
      <c r="C73" s="84"/>
      <c r="D73" s="169" t="s">
        <v>529</v>
      </c>
      <c r="E73" s="124" t="s">
        <v>2090</v>
      </c>
      <c r="F73" s="323" t="s">
        <v>2085</v>
      </c>
      <c r="G73" s="627"/>
      <c r="H73" s="631"/>
      <c r="I73" s="624"/>
      <c r="J73" s="506" t="s">
        <v>2092</v>
      </c>
      <c r="K73" s="125" t="s">
        <v>2093</v>
      </c>
      <c r="L73" s="133" t="s">
        <v>2094</v>
      </c>
      <c r="M73" s="370">
        <v>6</v>
      </c>
      <c r="N73" s="171" t="s">
        <v>17</v>
      </c>
      <c r="O73" s="235">
        <v>2</v>
      </c>
      <c r="P73" s="90">
        <f t="shared" si="5"/>
        <v>4</v>
      </c>
      <c r="Q73" s="271"/>
      <c r="R73" s="726" t="s">
        <v>2290</v>
      </c>
      <c r="S73" s="288" t="s">
        <v>2066</v>
      </c>
      <c r="T73" s="54"/>
      <c r="U73" s="73"/>
      <c r="V73" s="74"/>
      <c r="W73" s="73"/>
      <c r="X73" s="66"/>
      <c r="Y73" s="66"/>
      <c r="Z73" s="67"/>
      <c r="AA73" s="68"/>
      <c r="AB73" s="142"/>
      <c r="AC73" s="117"/>
    </row>
    <row r="74" spans="1:68" ht="20.25" customHeight="1">
      <c r="A74" s="359" t="s">
        <v>52</v>
      </c>
      <c r="C74" s="84"/>
      <c r="D74" s="51" t="s">
        <v>529</v>
      </c>
      <c r="E74" s="536" t="s">
        <v>2091</v>
      </c>
      <c r="F74" s="757" t="s">
        <v>2085</v>
      </c>
      <c r="G74" s="627"/>
      <c r="H74" s="631"/>
      <c r="I74" s="624" t="s">
        <v>2351</v>
      </c>
      <c r="J74" s="610" t="s">
        <v>2097</v>
      </c>
      <c r="K74" s="541" t="s">
        <v>2095</v>
      </c>
      <c r="L74" s="252" t="s">
        <v>2096</v>
      </c>
      <c r="M74" s="602">
        <v>6</v>
      </c>
      <c r="N74" s="760" t="s">
        <v>17</v>
      </c>
      <c r="O74" s="537">
        <v>6</v>
      </c>
      <c r="P74" s="603">
        <f t="shared" si="5"/>
        <v>0</v>
      </c>
      <c r="Q74" s="271"/>
      <c r="R74" s="726" t="s">
        <v>2305</v>
      </c>
      <c r="S74" s="288" t="s">
        <v>2066</v>
      </c>
      <c r="T74" s="54"/>
      <c r="U74" s="73"/>
      <c r="V74" s="74"/>
      <c r="W74" s="73"/>
      <c r="X74" s="66"/>
      <c r="Y74" s="66"/>
      <c r="Z74" s="67"/>
      <c r="AA74" s="68"/>
      <c r="AB74" s="142"/>
      <c r="AC74" s="117"/>
    </row>
    <row r="75" spans="1:68" ht="20.25" customHeight="1">
      <c r="A75" s="377" t="s">
        <v>20</v>
      </c>
      <c r="C75" s="84"/>
      <c r="D75" s="169" t="s">
        <v>575</v>
      </c>
      <c r="E75" s="124"/>
      <c r="F75" s="323">
        <v>43446</v>
      </c>
      <c r="G75" s="627"/>
      <c r="H75" s="631"/>
      <c r="I75" s="624"/>
      <c r="J75" s="506" t="s">
        <v>1624</v>
      </c>
      <c r="K75" s="125" t="s">
        <v>1625</v>
      </c>
      <c r="L75" s="133" t="s">
        <v>1626</v>
      </c>
      <c r="M75" s="370">
        <v>500</v>
      </c>
      <c r="N75" s="259" t="s">
        <v>1160</v>
      </c>
      <c r="O75" s="235"/>
      <c r="P75" s="90">
        <f t="shared" si="5"/>
        <v>500</v>
      </c>
      <c r="Q75" s="271" t="s">
        <v>1638</v>
      </c>
      <c r="R75" s="726"/>
      <c r="S75" s="288" t="s">
        <v>168</v>
      </c>
      <c r="T75" s="54"/>
      <c r="U75" s="73"/>
      <c r="V75" s="74"/>
      <c r="W75" s="73"/>
      <c r="X75" s="66"/>
      <c r="Y75" s="66"/>
      <c r="Z75" s="67"/>
      <c r="AA75" s="68"/>
      <c r="AB75" s="142"/>
      <c r="AC75" s="117"/>
    </row>
    <row r="76" spans="1:68" ht="20.25" customHeight="1">
      <c r="A76" s="377" t="s">
        <v>20</v>
      </c>
      <c r="C76" s="84"/>
      <c r="D76" s="169" t="s">
        <v>575</v>
      </c>
      <c r="E76" s="124"/>
      <c r="F76" s="323">
        <v>43446</v>
      </c>
      <c r="G76" s="627"/>
      <c r="H76" s="631"/>
      <c r="I76" s="624"/>
      <c r="J76" s="506" t="s">
        <v>1624</v>
      </c>
      <c r="K76" s="125" t="s">
        <v>1627</v>
      </c>
      <c r="L76" s="133" t="s">
        <v>1628</v>
      </c>
      <c r="M76" s="370">
        <v>690</v>
      </c>
      <c r="N76" s="259" t="s">
        <v>1160</v>
      </c>
      <c r="O76" s="235"/>
      <c r="P76" s="90">
        <f t="shared" si="5"/>
        <v>690</v>
      </c>
      <c r="Q76" s="271" t="s">
        <v>1642</v>
      </c>
      <c r="R76" s="726"/>
      <c r="S76" s="288" t="s">
        <v>168</v>
      </c>
      <c r="T76" s="54"/>
      <c r="U76" s="73"/>
      <c r="V76" s="702"/>
      <c r="W76" s="703"/>
      <c r="X76" s="66"/>
      <c r="Y76" s="66"/>
      <c r="Z76" s="67"/>
      <c r="AA76" s="68"/>
      <c r="AB76" s="142"/>
      <c r="AC76" s="117"/>
    </row>
    <row r="77" spans="1:68" ht="20.25" customHeight="1">
      <c r="A77" s="377" t="s">
        <v>20</v>
      </c>
      <c r="C77" s="84"/>
      <c r="D77" s="169" t="s">
        <v>575</v>
      </c>
      <c r="E77" s="124"/>
      <c r="F77" s="323">
        <v>43446</v>
      </c>
      <c r="G77" s="627"/>
      <c r="H77" s="631"/>
      <c r="I77" s="624"/>
      <c r="J77" s="506" t="s">
        <v>1624</v>
      </c>
      <c r="K77" s="125" t="s">
        <v>1627</v>
      </c>
      <c r="L77" s="133" t="s">
        <v>1628</v>
      </c>
      <c r="M77" s="370">
        <v>210</v>
      </c>
      <c r="N77" s="259" t="s">
        <v>1160</v>
      </c>
      <c r="O77" s="235"/>
      <c r="P77" s="90">
        <f t="shared" si="5"/>
        <v>210</v>
      </c>
      <c r="Q77" s="271" t="s">
        <v>1639</v>
      </c>
      <c r="R77" s="726"/>
      <c r="S77" s="288" t="s">
        <v>168</v>
      </c>
      <c r="T77" s="54"/>
      <c r="U77" s="73"/>
      <c r="V77" s="74"/>
      <c r="W77" s="73"/>
      <c r="X77" s="66"/>
      <c r="Y77" s="66"/>
      <c r="Z77" s="67"/>
      <c r="AA77" s="68"/>
      <c r="AB77" s="142"/>
      <c r="AC77" s="117"/>
    </row>
    <row r="78" spans="1:68" ht="20.25" customHeight="1">
      <c r="A78" s="377" t="s">
        <v>20</v>
      </c>
      <c r="C78" s="84"/>
      <c r="D78" s="169" t="s">
        <v>575</v>
      </c>
      <c r="E78" s="124"/>
      <c r="F78" s="323">
        <v>43446</v>
      </c>
      <c r="G78" s="627"/>
      <c r="H78" s="631"/>
      <c r="I78" s="624"/>
      <c r="J78" s="506" t="s">
        <v>1624</v>
      </c>
      <c r="K78" s="125" t="s">
        <v>1625</v>
      </c>
      <c r="L78" s="133" t="s">
        <v>1626</v>
      </c>
      <c r="M78" s="370">
        <v>140</v>
      </c>
      <c r="N78" s="259" t="s">
        <v>1160</v>
      </c>
      <c r="O78" s="235"/>
      <c r="P78" s="90">
        <f t="shared" si="5"/>
        <v>140</v>
      </c>
      <c r="Q78" s="271" t="s">
        <v>1640</v>
      </c>
      <c r="R78" s="726"/>
      <c r="S78" s="288" t="s">
        <v>168</v>
      </c>
      <c r="T78" s="54"/>
      <c r="U78" s="73"/>
      <c r="V78" s="74"/>
      <c r="W78" s="73"/>
      <c r="X78" s="66"/>
      <c r="Y78" s="66"/>
      <c r="Z78" s="67"/>
      <c r="AA78" s="68"/>
      <c r="AB78" s="142"/>
      <c r="AC78" s="117"/>
    </row>
    <row r="79" spans="1:68" ht="20.25" customHeight="1">
      <c r="A79" s="377" t="s">
        <v>20</v>
      </c>
      <c r="C79" s="84"/>
      <c r="D79" s="169" t="s">
        <v>575</v>
      </c>
      <c r="E79" s="124"/>
      <c r="F79" s="323">
        <v>43446</v>
      </c>
      <c r="G79" s="627"/>
      <c r="H79" s="631"/>
      <c r="I79" s="624"/>
      <c r="J79" s="719" t="s">
        <v>1621</v>
      </c>
      <c r="K79" s="133" t="s">
        <v>1622</v>
      </c>
      <c r="L79" s="133" t="s">
        <v>1623</v>
      </c>
      <c r="M79" s="370">
        <v>20</v>
      </c>
      <c r="N79" s="259" t="s">
        <v>1160</v>
      </c>
      <c r="O79" s="235"/>
      <c r="P79" s="90">
        <f t="shared" si="5"/>
        <v>20</v>
      </c>
      <c r="Q79" s="271" t="s">
        <v>1641</v>
      </c>
      <c r="R79" s="726"/>
      <c r="S79" s="288" t="s">
        <v>168</v>
      </c>
      <c r="T79" s="54"/>
      <c r="U79" s="73"/>
      <c r="V79" s="74"/>
      <c r="W79" s="73"/>
      <c r="X79" s="66"/>
      <c r="Y79" s="66"/>
      <c r="Z79" s="67"/>
      <c r="AA79" s="68"/>
      <c r="AB79" s="142"/>
      <c r="AC79" s="117"/>
    </row>
    <row r="80" spans="1:68" ht="20.25" customHeight="1">
      <c r="A80" s="359"/>
      <c r="C80" s="84" t="str">
        <f>K$2</f>
        <v>10/08/2019</v>
      </c>
      <c r="D80" s="261" t="s">
        <v>466</v>
      </c>
      <c r="E80" s="262"/>
      <c r="F80" s="322"/>
      <c r="G80" s="627"/>
      <c r="H80" s="631"/>
      <c r="I80" s="624"/>
      <c r="J80" s="516" t="s">
        <v>1211</v>
      </c>
      <c r="K80" s="258" t="s">
        <v>546</v>
      </c>
      <c r="L80" s="354" t="s">
        <v>1212</v>
      </c>
      <c r="M80" s="371">
        <v>1</v>
      </c>
      <c r="N80" s="263" t="s">
        <v>268</v>
      </c>
      <c r="O80" s="235"/>
      <c r="P80" s="90">
        <f t="shared" si="5"/>
        <v>1</v>
      </c>
      <c r="Q80" s="329"/>
      <c r="R80" s="726"/>
      <c r="S80" s="337" t="s">
        <v>168</v>
      </c>
      <c r="T80" s="54"/>
      <c r="U80" s="73"/>
      <c r="V80" s="74"/>
      <c r="W80" s="73"/>
      <c r="X80" s="66"/>
      <c r="Y80" s="66"/>
      <c r="Z80" s="67"/>
      <c r="AA80" s="68"/>
      <c r="AB80" s="142"/>
      <c r="AC80" s="117"/>
    </row>
    <row r="81" spans="1:68" ht="20.25" customHeight="1">
      <c r="A81" s="359"/>
      <c r="C81" s="84" t="str">
        <f>K$2</f>
        <v>10/08/2019</v>
      </c>
      <c r="D81" s="261" t="s">
        <v>1614</v>
      </c>
      <c r="E81" s="262"/>
      <c r="F81" s="322"/>
      <c r="G81" s="627"/>
      <c r="H81" s="631"/>
      <c r="I81" s="624"/>
      <c r="J81" s="516" t="s">
        <v>1211</v>
      </c>
      <c r="K81" s="258" t="s">
        <v>546</v>
      </c>
      <c r="L81" s="354" t="s">
        <v>1212</v>
      </c>
      <c r="M81" s="371">
        <v>1</v>
      </c>
      <c r="N81" s="263" t="s">
        <v>268</v>
      </c>
      <c r="O81" s="235"/>
      <c r="P81" s="90">
        <f t="shared" si="5"/>
        <v>1</v>
      </c>
      <c r="Q81" s="329"/>
      <c r="R81" s="726"/>
      <c r="S81" s="337" t="s">
        <v>168</v>
      </c>
      <c r="T81" s="54"/>
      <c r="U81" s="73"/>
      <c r="V81" s="74"/>
      <c r="W81" s="73"/>
      <c r="X81" s="66"/>
      <c r="Y81" s="66"/>
      <c r="Z81" s="67"/>
      <c r="AA81" s="68"/>
      <c r="AB81" s="142"/>
      <c r="AC81" s="117"/>
    </row>
    <row r="82" spans="1:68" s="168" customFormat="1" ht="18.75" customHeight="1">
      <c r="A82" s="377" t="s">
        <v>20</v>
      </c>
      <c r="B82" s="157"/>
      <c r="C82" s="158"/>
      <c r="D82" s="169" t="s">
        <v>965</v>
      </c>
      <c r="E82" s="124" t="s">
        <v>2014</v>
      </c>
      <c r="F82" s="320">
        <v>42993</v>
      </c>
      <c r="G82" s="625"/>
      <c r="H82" s="626"/>
      <c r="I82" s="624"/>
      <c r="J82" s="506" t="s">
        <v>2015</v>
      </c>
      <c r="K82" s="125" t="s">
        <v>822</v>
      </c>
      <c r="L82" s="133" t="s">
        <v>1184</v>
      </c>
      <c r="M82" s="714">
        <v>610</v>
      </c>
      <c r="N82" s="127" t="s">
        <v>1160</v>
      </c>
      <c r="O82" s="235"/>
      <c r="P82" s="90">
        <f t="shared" si="5"/>
        <v>610</v>
      </c>
      <c r="Q82" s="283"/>
      <c r="R82" s="726"/>
      <c r="S82" s="277" t="s">
        <v>168</v>
      </c>
      <c r="T82" s="159"/>
      <c r="U82" s="160"/>
      <c r="V82" s="161"/>
      <c r="W82" s="162"/>
      <c r="X82" s="163"/>
      <c r="Y82" s="163"/>
      <c r="Z82" s="164">
        <v>30954</v>
      </c>
      <c r="AA82" s="165"/>
      <c r="AB82" s="166"/>
      <c r="AC82" s="167"/>
    </row>
    <row r="83" spans="1:68" s="168" customFormat="1" ht="20.25">
      <c r="A83" s="359" t="s">
        <v>28</v>
      </c>
      <c r="B83" s="157"/>
      <c r="C83" s="158"/>
      <c r="D83" s="169" t="s">
        <v>965</v>
      </c>
      <c r="E83" s="124" t="s">
        <v>2016</v>
      </c>
      <c r="F83" s="320">
        <v>43397</v>
      </c>
      <c r="G83" s="625"/>
      <c r="H83" s="626"/>
      <c r="I83" s="624"/>
      <c r="J83" s="506" t="s">
        <v>2017</v>
      </c>
      <c r="K83" s="125" t="s">
        <v>131</v>
      </c>
      <c r="L83" s="133" t="s">
        <v>2018</v>
      </c>
      <c r="M83" s="714">
        <v>2</v>
      </c>
      <c r="N83" s="127" t="s">
        <v>17</v>
      </c>
      <c r="O83" s="235"/>
      <c r="P83" s="90">
        <f t="shared" si="5"/>
        <v>2</v>
      </c>
      <c r="Q83" s="283" t="s">
        <v>2019</v>
      </c>
      <c r="R83" s="726"/>
      <c r="S83" s="277" t="s">
        <v>168</v>
      </c>
      <c r="T83" s="159"/>
      <c r="U83" s="160"/>
      <c r="V83" s="161"/>
      <c r="W83" s="162"/>
      <c r="X83" s="163"/>
      <c r="Y83" s="163"/>
      <c r="Z83" s="164"/>
      <c r="AA83" s="165"/>
      <c r="AB83" s="166"/>
      <c r="AC83" s="167"/>
    </row>
    <row r="84" spans="1:68" ht="21.95" customHeight="1">
      <c r="A84" s="377" t="s">
        <v>52</v>
      </c>
      <c r="B84" s="186"/>
      <c r="C84" s="188"/>
      <c r="D84" s="169" t="s">
        <v>965</v>
      </c>
      <c r="E84" s="608" t="s">
        <v>1755</v>
      </c>
      <c r="F84" s="16">
        <v>43494</v>
      </c>
      <c r="G84" s="637"/>
      <c r="H84" s="638"/>
      <c r="I84" s="624"/>
      <c r="J84" s="723" t="s">
        <v>1756</v>
      </c>
      <c r="K84" s="3" t="s">
        <v>1757</v>
      </c>
      <c r="L84" s="3" t="s">
        <v>1758</v>
      </c>
      <c r="M84" s="609">
        <v>4</v>
      </c>
      <c r="N84" s="127" t="s">
        <v>17</v>
      </c>
      <c r="O84" s="126"/>
      <c r="P84" s="90">
        <f t="shared" si="5"/>
        <v>4</v>
      </c>
      <c r="Q84" s="604"/>
      <c r="R84" s="726"/>
      <c r="S84" s="383" t="s">
        <v>168</v>
      </c>
      <c r="T84" s="27"/>
      <c r="U84" s="81"/>
      <c r="V84" s="82"/>
      <c r="W84" s="81"/>
      <c r="X84" s="63"/>
      <c r="Y84" s="139"/>
      <c r="Z84" s="131"/>
      <c r="AA84" s="140"/>
      <c r="AB84" s="141"/>
      <c r="AC84" s="141"/>
    </row>
    <row r="85" spans="1:68" s="168" customFormat="1" ht="20.25">
      <c r="A85" s="359" t="s">
        <v>28</v>
      </c>
      <c r="B85" s="157"/>
      <c r="C85" s="158"/>
      <c r="D85" s="169" t="s">
        <v>965</v>
      </c>
      <c r="E85" s="124" t="s">
        <v>1770</v>
      </c>
      <c r="F85" s="320" t="s">
        <v>1754</v>
      </c>
      <c r="G85" s="625"/>
      <c r="H85" s="626"/>
      <c r="I85" s="624"/>
      <c r="J85" s="506" t="s">
        <v>1761</v>
      </c>
      <c r="K85" s="125"/>
      <c r="L85" s="133"/>
      <c r="M85" s="370">
        <v>21</v>
      </c>
      <c r="N85" s="127" t="s">
        <v>1762</v>
      </c>
      <c r="O85" s="235"/>
      <c r="P85" s="90">
        <f t="shared" si="5"/>
        <v>21</v>
      </c>
      <c r="Q85" s="283"/>
      <c r="R85" s="726"/>
      <c r="S85" s="277" t="s">
        <v>168</v>
      </c>
      <c r="T85" s="159"/>
      <c r="U85" s="160"/>
      <c r="V85" s="512"/>
      <c r="W85" s="160"/>
      <c r="X85" s="163"/>
      <c r="Y85" s="163"/>
      <c r="Z85" s="164"/>
      <c r="AA85" s="165"/>
      <c r="AB85" s="166"/>
      <c r="AC85" s="167"/>
    </row>
    <row r="86" spans="1:68" ht="20.25" customHeight="1">
      <c r="A86" s="359" t="s">
        <v>28</v>
      </c>
      <c r="D86" s="169" t="s">
        <v>965</v>
      </c>
      <c r="E86" s="124" t="s">
        <v>2153</v>
      </c>
      <c r="F86" s="321">
        <v>43662</v>
      </c>
      <c r="G86" s="625"/>
      <c r="H86" s="626"/>
      <c r="I86" s="624"/>
      <c r="J86" s="506" t="s">
        <v>2152</v>
      </c>
      <c r="K86" s="125" t="s">
        <v>150</v>
      </c>
      <c r="L86" s="133" t="s">
        <v>83</v>
      </c>
      <c r="M86" s="714">
        <v>4</v>
      </c>
      <c r="N86" s="171" t="s">
        <v>17</v>
      </c>
      <c r="O86" s="235"/>
      <c r="P86" s="90">
        <f t="shared" si="5"/>
        <v>4</v>
      </c>
      <c r="Q86" s="326"/>
      <c r="R86" s="726"/>
      <c r="S86" s="288" t="s">
        <v>168</v>
      </c>
      <c r="T86" s="27"/>
      <c r="U86" s="81"/>
      <c r="V86" s="82"/>
      <c r="W86" s="81"/>
      <c r="X86" s="60"/>
      <c r="Y86" s="60"/>
      <c r="Z86" s="83"/>
      <c r="AA86" s="62"/>
      <c r="AB86" s="142"/>
      <c r="AC86" s="117"/>
    </row>
    <row r="87" spans="1:68" s="141" customFormat="1" ht="20.25" customHeight="1">
      <c r="A87" s="377" t="s">
        <v>28</v>
      </c>
      <c r="B87" s="186"/>
      <c r="C87" s="188"/>
      <c r="D87" s="169" t="s">
        <v>965</v>
      </c>
      <c r="E87" s="124" t="s">
        <v>2101</v>
      </c>
      <c r="F87" s="319" t="s">
        <v>2100</v>
      </c>
      <c r="G87" s="627"/>
      <c r="H87" s="631"/>
      <c r="I87" s="632"/>
      <c r="J87" s="517" t="s">
        <v>2102</v>
      </c>
      <c r="K87" s="125" t="s">
        <v>2103</v>
      </c>
      <c r="L87" s="125" t="s">
        <v>83</v>
      </c>
      <c r="M87" s="710">
        <v>4</v>
      </c>
      <c r="N87" s="135" t="s">
        <v>17</v>
      </c>
      <c r="O87" s="235"/>
      <c r="P87" s="90">
        <f t="shared" si="5"/>
        <v>4</v>
      </c>
      <c r="Q87" s="382"/>
      <c r="R87" s="726"/>
      <c r="S87" s="383" t="s">
        <v>1980</v>
      </c>
      <c r="T87" s="27"/>
      <c r="U87" s="81"/>
      <c r="V87" s="82"/>
      <c r="W87" s="81"/>
      <c r="X87" s="63"/>
      <c r="Y87" s="139"/>
      <c r="Z87" s="131"/>
      <c r="AA87" s="140"/>
    </row>
    <row r="88" spans="1:68" ht="20.25" customHeight="1">
      <c r="A88" s="377" t="s">
        <v>20</v>
      </c>
      <c r="B88" s="186"/>
      <c r="C88" s="188"/>
      <c r="D88" s="169" t="s">
        <v>965</v>
      </c>
      <c r="E88" s="124" t="s">
        <v>1513</v>
      </c>
      <c r="F88" s="319" t="s">
        <v>1988</v>
      </c>
      <c r="G88" s="627"/>
      <c r="H88" s="627"/>
      <c r="I88" s="624"/>
      <c r="J88" s="718" t="s">
        <v>1515</v>
      </c>
      <c r="K88" s="125" t="s">
        <v>1516</v>
      </c>
      <c r="L88" s="125" t="s">
        <v>1517</v>
      </c>
      <c r="M88" s="380">
        <v>2</v>
      </c>
      <c r="N88" s="127" t="s">
        <v>17</v>
      </c>
      <c r="O88" s="235"/>
      <c r="P88" s="90">
        <f t="shared" si="5"/>
        <v>2</v>
      </c>
      <c r="Q88" s="271"/>
      <c r="R88" s="726"/>
      <c r="S88" s="383" t="s">
        <v>168</v>
      </c>
      <c r="T88" s="27"/>
      <c r="U88" s="81"/>
      <c r="V88" s="82"/>
      <c r="W88" s="81"/>
      <c r="X88" s="63"/>
      <c r="Y88" s="139"/>
      <c r="Z88" s="131"/>
      <c r="AA88" s="140"/>
      <c r="AB88" s="141"/>
      <c r="AC88" s="141"/>
    </row>
    <row r="89" spans="1:68" ht="20.25" customHeight="1">
      <c r="A89" s="359" t="s">
        <v>20</v>
      </c>
      <c r="B89" s="186"/>
      <c r="C89" s="188"/>
      <c r="D89" s="169" t="s">
        <v>965</v>
      </c>
      <c r="E89" s="124" t="s">
        <v>314</v>
      </c>
      <c r="F89" s="319" t="s">
        <v>1988</v>
      </c>
      <c r="G89" s="627"/>
      <c r="H89" s="627"/>
      <c r="I89" s="624"/>
      <c r="J89" s="718" t="s">
        <v>315</v>
      </c>
      <c r="K89" s="125" t="s">
        <v>316</v>
      </c>
      <c r="L89" s="125" t="s">
        <v>1383</v>
      </c>
      <c r="M89" s="380">
        <v>3</v>
      </c>
      <c r="N89" s="127" t="s">
        <v>17</v>
      </c>
      <c r="O89" s="235">
        <v>1</v>
      </c>
      <c r="P89" s="90">
        <f t="shared" si="5"/>
        <v>2</v>
      </c>
      <c r="Q89" s="676"/>
      <c r="R89" s="752" t="s">
        <v>777</v>
      </c>
      <c r="S89" s="383" t="s">
        <v>1998</v>
      </c>
      <c r="T89" s="27"/>
      <c r="U89" s="81"/>
      <c r="V89" s="738"/>
      <c r="W89" s="744"/>
      <c r="X89" s="63"/>
      <c r="Y89" s="139"/>
      <c r="Z89" s="131"/>
      <c r="AA89" s="140"/>
      <c r="AB89" s="141"/>
      <c r="AC89" s="141"/>
    </row>
    <row r="90" spans="1:68" s="648" customFormat="1" ht="21.95" customHeight="1">
      <c r="A90" s="377" t="s">
        <v>28</v>
      </c>
      <c r="C90" s="677"/>
      <c r="D90" s="51" t="s">
        <v>965</v>
      </c>
      <c r="E90" s="536" t="s">
        <v>1686</v>
      </c>
      <c r="F90" s="757" t="s">
        <v>1988</v>
      </c>
      <c r="G90" s="627"/>
      <c r="H90" s="627"/>
      <c r="I90" s="624"/>
      <c r="J90" s="761" t="s">
        <v>1687</v>
      </c>
      <c r="K90" s="541" t="s">
        <v>253</v>
      </c>
      <c r="L90" s="759" t="s">
        <v>212</v>
      </c>
      <c r="M90" s="542">
        <v>2</v>
      </c>
      <c r="N90" s="547" t="s">
        <v>17</v>
      </c>
      <c r="O90" s="537">
        <v>2</v>
      </c>
      <c r="P90" s="548">
        <f t="shared" si="5"/>
        <v>0</v>
      </c>
      <c r="Q90" s="604"/>
      <c r="R90" s="752" t="s">
        <v>938</v>
      </c>
      <c r="S90" s="383" t="s">
        <v>1817</v>
      </c>
      <c r="T90" s="653"/>
      <c r="U90" s="654"/>
      <c r="V90" s="655"/>
      <c r="W90" s="654"/>
      <c r="X90" s="656"/>
      <c r="Y90" s="656"/>
      <c r="Z90" s="680"/>
      <c r="AA90" s="681"/>
      <c r="AB90" s="682"/>
      <c r="AC90" s="682"/>
      <c r="AD90" s="682"/>
      <c r="AE90" s="682"/>
      <c r="AF90" s="682"/>
      <c r="AG90" s="682"/>
      <c r="AH90" s="682"/>
      <c r="AI90" s="682"/>
      <c r="AJ90" s="682"/>
      <c r="AK90" s="682"/>
      <c r="AL90" s="682"/>
      <c r="AM90" s="682"/>
      <c r="AN90" s="682"/>
      <c r="AO90" s="682"/>
      <c r="AP90" s="682"/>
      <c r="AQ90" s="682"/>
      <c r="AR90" s="682"/>
      <c r="AS90" s="682"/>
      <c r="AT90" s="682"/>
      <c r="AU90" s="682"/>
      <c r="AV90" s="682"/>
      <c r="AW90" s="682"/>
      <c r="AX90" s="682"/>
      <c r="AY90" s="682"/>
      <c r="AZ90" s="682"/>
      <c r="BA90" s="682"/>
      <c r="BB90" s="682"/>
      <c r="BC90" s="682"/>
      <c r="BD90" s="682"/>
      <c r="BE90" s="682"/>
      <c r="BF90" s="682"/>
      <c r="BG90" s="682"/>
      <c r="BH90" s="682"/>
      <c r="BI90" s="682"/>
      <c r="BJ90" s="682"/>
      <c r="BK90" s="682"/>
      <c r="BL90" s="682"/>
      <c r="BM90" s="682"/>
      <c r="BN90" s="682"/>
      <c r="BO90" s="682"/>
      <c r="BP90" s="682"/>
    </row>
    <row r="91" spans="1:68" s="648" customFormat="1" ht="21.95" customHeight="1">
      <c r="A91" s="359" t="s">
        <v>66</v>
      </c>
      <c r="C91" s="677"/>
      <c r="D91" s="123" t="s">
        <v>593</v>
      </c>
      <c r="E91" s="678" t="s">
        <v>1504</v>
      </c>
      <c r="F91" s="639">
        <v>43560</v>
      </c>
      <c r="G91" s="627"/>
      <c r="H91" s="627"/>
      <c r="I91" s="628"/>
      <c r="J91" s="730" t="s">
        <v>1503</v>
      </c>
      <c r="K91" s="731" t="s">
        <v>350</v>
      </c>
      <c r="L91" s="679" t="s">
        <v>348</v>
      </c>
      <c r="M91" s="651">
        <v>36</v>
      </c>
      <c r="N91" s="652" t="s">
        <v>17</v>
      </c>
      <c r="O91" s="663"/>
      <c r="P91" s="90">
        <f t="shared" si="5"/>
        <v>36</v>
      </c>
      <c r="Q91" s="271"/>
      <c r="R91" s="726"/>
      <c r="S91" s="383" t="s">
        <v>1816</v>
      </c>
      <c r="T91" s="653"/>
      <c r="U91" s="654"/>
      <c r="V91" s="655"/>
      <c r="W91" s="654"/>
      <c r="X91" s="656"/>
      <c r="Y91" s="656"/>
      <c r="Z91" s="680"/>
      <c r="AA91" s="681"/>
      <c r="AB91" s="682"/>
      <c r="AC91" s="682"/>
      <c r="AD91" s="682"/>
      <c r="AE91" s="682"/>
      <c r="AF91" s="682"/>
      <c r="AG91" s="682"/>
      <c r="AH91" s="682"/>
      <c r="AI91" s="682"/>
      <c r="AJ91" s="682"/>
      <c r="AK91" s="682"/>
      <c r="AL91" s="682"/>
      <c r="AM91" s="682"/>
      <c r="AN91" s="682"/>
      <c r="AO91" s="682"/>
      <c r="AP91" s="682"/>
      <c r="AQ91" s="682"/>
      <c r="AR91" s="682"/>
      <c r="AS91" s="682"/>
      <c r="AT91" s="682"/>
      <c r="AU91" s="682"/>
      <c r="AV91" s="682"/>
      <c r="AW91" s="682"/>
      <c r="AX91" s="682"/>
      <c r="AY91" s="682"/>
      <c r="AZ91" s="682"/>
      <c r="BA91" s="682"/>
      <c r="BB91" s="682"/>
      <c r="BC91" s="682"/>
      <c r="BD91" s="682"/>
      <c r="BE91" s="682"/>
      <c r="BF91" s="682"/>
      <c r="BG91" s="682"/>
      <c r="BH91" s="682"/>
      <c r="BI91" s="682"/>
      <c r="BJ91" s="682"/>
      <c r="BK91" s="682"/>
      <c r="BL91" s="682"/>
      <c r="BM91" s="682"/>
      <c r="BN91" s="682"/>
      <c r="BO91" s="682"/>
      <c r="BP91" s="682"/>
    </row>
    <row r="92" spans="1:68" ht="20.25" customHeight="1">
      <c r="A92" s="359" t="s">
        <v>28</v>
      </c>
      <c r="C92" s="84"/>
      <c r="D92" s="123" t="s">
        <v>518</v>
      </c>
      <c r="E92" s="124" t="s">
        <v>1914</v>
      </c>
      <c r="F92" s="323">
        <v>43678</v>
      </c>
      <c r="G92" s="627"/>
      <c r="H92" s="631"/>
      <c r="I92" s="624"/>
      <c r="J92" s="506" t="s">
        <v>2224</v>
      </c>
      <c r="K92" s="125" t="s">
        <v>2225</v>
      </c>
      <c r="L92" s="133" t="s">
        <v>348</v>
      </c>
      <c r="M92" s="370">
        <v>29</v>
      </c>
      <c r="N92" s="127" t="s">
        <v>17</v>
      </c>
      <c r="O92" s="235">
        <v>7</v>
      </c>
      <c r="P92" s="90">
        <f t="shared" si="5"/>
        <v>22</v>
      </c>
      <c r="Q92" s="271"/>
      <c r="R92" s="726" t="s">
        <v>2293</v>
      </c>
      <c r="S92" s="383">
        <v>43853</v>
      </c>
      <c r="T92" s="54"/>
      <c r="U92" s="73"/>
      <c r="V92" s="74"/>
      <c r="W92" s="73"/>
      <c r="X92" s="66"/>
      <c r="Y92" s="66"/>
      <c r="Z92" s="67"/>
      <c r="AA92" s="68"/>
      <c r="AB92" s="142"/>
      <c r="AC92" s="117"/>
    </row>
    <row r="93" spans="1:68" s="141" customFormat="1" ht="20.25" customHeight="1">
      <c r="A93" s="359" t="s">
        <v>20</v>
      </c>
      <c r="B93" s="186"/>
      <c r="C93" s="188"/>
      <c r="D93" s="169" t="s">
        <v>515</v>
      </c>
      <c r="E93" s="124" t="s">
        <v>310</v>
      </c>
      <c r="F93" s="319">
        <v>43565</v>
      </c>
      <c r="G93" s="627"/>
      <c r="H93" s="631"/>
      <c r="I93" s="624"/>
      <c r="J93" s="517" t="s">
        <v>311</v>
      </c>
      <c r="K93" s="125" t="s">
        <v>312</v>
      </c>
      <c r="L93" s="125" t="s">
        <v>313</v>
      </c>
      <c r="M93" s="514">
        <v>1</v>
      </c>
      <c r="N93" s="135" t="s">
        <v>17</v>
      </c>
      <c r="O93" s="235"/>
      <c r="P93" s="90">
        <f>IF(O93="",M93,M93-O93)</f>
        <v>1</v>
      </c>
      <c r="Q93" s="382"/>
      <c r="R93" s="726"/>
      <c r="S93" s="288" t="s">
        <v>1833</v>
      </c>
      <c r="T93" s="27"/>
      <c r="U93" s="81"/>
      <c r="V93" s="82"/>
      <c r="W93" s="81"/>
      <c r="X93" s="63"/>
      <c r="Y93" s="139"/>
      <c r="Z93" s="131"/>
      <c r="AA93" s="140"/>
    </row>
    <row r="94" spans="1:68" ht="20.25">
      <c r="A94" s="359" t="s">
        <v>20</v>
      </c>
      <c r="B94" s="186"/>
      <c r="C94" s="188"/>
      <c r="D94" s="85" t="s">
        <v>515</v>
      </c>
      <c r="E94" s="536" t="s">
        <v>54</v>
      </c>
      <c r="F94" s="757" t="s">
        <v>1738</v>
      </c>
      <c r="G94" s="627"/>
      <c r="H94" s="627"/>
      <c r="I94" s="628" t="s">
        <v>2310</v>
      </c>
      <c r="J94" s="761" t="s">
        <v>55</v>
      </c>
      <c r="K94" s="541" t="s">
        <v>56</v>
      </c>
      <c r="L94" s="541" t="s">
        <v>57</v>
      </c>
      <c r="M94" s="542">
        <v>2</v>
      </c>
      <c r="N94" s="547" t="s">
        <v>17</v>
      </c>
      <c r="O94" s="537">
        <v>2</v>
      </c>
      <c r="P94" s="603">
        <f t="shared" si="5"/>
        <v>0</v>
      </c>
      <c r="Q94" s="382"/>
      <c r="R94" s="726"/>
      <c r="S94" s="383" t="s">
        <v>1739</v>
      </c>
      <c r="T94" s="27"/>
      <c r="U94" s="81"/>
      <c r="V94" s="738"/>
      <c r="W94" s="744"/>
      <c r="X94" s="63"/>
      <c r="Y94" s="139"/>
      <c r="Z94" s="131"/>
      <c r="AA94" s="140"/>
      <c r="AB94" s="141"/>
      <c r="AC94" s="141"/>
    </row>
    <row r="95" spans="1:68" s="168" customFormat="1" ht="19.5" customHeight="1">
      <c r="A95" s="359" t="s">
        <v>52</v>
      </c>
      <c r="B95" s="157"/>
      <c r="C95" s="158"/>
      <c r="D95" s="51" t="s">
        <v>467</v>
      </c>
      <c r="E95" s="536" t="s">
        <v>1798</v>
      </c>
      <c r="F95" s="601">
        <v>43557</v>
      </c>
      <c r="G95" s="625"/>
      <c r="H95" s="626"/>
      <c r="I95" s="624"/>
      <c r="J95" s="756" t="s">
        <v>1825</v>
      </c>
      <c r="K95" s="541" t="s">
        <v>1799</v>
      </c>
      <c r="L95" s="252" t="s">
        <v>1800</v>
      </c>
      <c r="M95" s="602">
        <v>2</v>
      </c>
      <c r="N95" s="547" t="s">
        <v>17</v>
      </c>
      <c r="O95" s="537">
        <v>2</v>
      </c>
      <c r="P95" s="603">
        <f t="shared" si="5"/>
        <v>0</v>
      </c>
      <c r="Q95" s="283"/>
      <c r="R95" s="752" t="s">
        <v>938</v>
      </c>
      <c r="S95" s="550">
        <v>43833</v>
      </c>
      <c r="T95" s="159"/>
      <c r="U95" s="160"/>
      <c r="V95" s="664"/>
      <c r="W95" s="665"/>
      <c r="X95" s="163"/>
      <c r="Y95" s="163"/>
      <c r="Z95" s="164"/>
      <c r="AA95" s="165"/>
      <c r="AB95" s="166"/>
      <c r="AC95" s="167"/>
    </row>
    <row r="96" spans="1:68" ht="20.25" customHeight="1">
      <c r="A96" s="359" t="s">
        <v>20</v>
      </c>
      <c r="B96" s="186"/>
      <c r="C96" s="188"/>
      <c r="D96" s="169" t="s">
        <v>467</v>
      </c>
      <c r="E96" s="124" t="s">
        <v>1570</v>
      </c>
      <c r="F96" s="319"/>
      <c r="G96" s="627"/>
      <c r="H96" s="627"/>
      <c r="I96" s="624"/>
      <c r="J96" s="718" t="s">
        <v>1573</v>
      </c>
      <c r="K96" s="125" t="s">
        <v>317</v>
      </c>
      <c r="L96" s="125" t="s">
        <v>1383</v>
      </c>
      <c r="M96" s="380">
        <v>6</v>
      </c>
      <c r="N96" s="127" t="s">
        <v>187</v>
      </c>
      <c r="O96" s="235">
        <v>0.5</v>
      </c>
      <c r="P96" s="90">
        <f t="shared" si="5"/>
        <v>5.5</v>
      </c>
      <c r="Q96" s="271" t="s">
        <v>2248</v>
      </c>
      <c r="R96" s="752" t="s">
        <v>2286</v>
      </c>
      <c r="S96" s="383" t="s">
        <v>1999</v>
      </c>
      <c r="T96" s="27"/>
      <c r="U96" s="81"/>
      <c r="V96" s="82"/>
      <c r="W96" s="81"/>
      <c r="X96" s="63"/>
      <c r="Y96" s="139"/>
      <c r="Z96" s="131"/>
      <c r="AA96" s="140"/>
      <c r="AB96" s="141"/>
      <c r="AC96" s="141"/>
    </row>
    <row r="97" spans="1:29" ht="20.25" customHeight="1">
      <c r="A97" s="359" t="s">
        <v>20</v>
      </c>
      <c r="B97" s="186"/>
      <c r="C97" s="188"/>
      <c r="D97" s="169" t="s">
        <v>467</v>
      </c>
      <c r="E97" s="124" t="s">
        <v>1570</v>
      </c>
      <c r="F97" s="319" t="s">
        <v>1988</v>
      </c>
      <c r="G97" s="627"/>
      <c r="H97" s="627"/>
      <c r="I97" s="624"/>
      <c r="J97" s="718" t="s">
        <v>1573</v>
      </c>
      <c r="K97" s="125" t="s">
        <v>317</v>
      </c>
      <c r="L97" s="125" t="s">
        <v>1383</v>
      </c>
      <c r="M97" s="380">
        <v>4</v>
      </c>
      <c r="N97" s="127" t="s">
        <v>17</v>
      </c>
      <c r="O97" s="235">
        <v>1</v>
      </c>
      <c r="P97" s="90">
        <f t="shared" si="5"/>
        <v>3</v>
      </c>
      <c r="Q97" s="271"/>
      <c r="R97" s="752" t="s">
        <v>777</v>
      </c>
      <c r="S97" s="383" t="s">
        <v>1999</v>
      </c>
      <c r="T97" s="27"/>
      <c r="U97" s="81"/>
      <c r="V97" s="82"/>
      <c r="W97" s="81"/>
      <c r="X97" s="63"/>
      <c r="Y97" s="139"/>
      <c r="Z97" s="131"/>
      <c r="AA97" s="140"/>
      <c r="AB97" s="141"/>
      <c r="AC97" s="141"/>
    </row>
    <row r="98" spans="1:29" ht="20.25" customHeight="1">
      <c r="A98" s="359" t="s">
        <v>20</v>
      </c>
      <c r="B98" s="186"/>
      <c r="C98" s="188"/>
      <c r="D98" s="169" t="s">
        <v>467</v>
      </c>
      <c r="E98" s="124" t="s">
        <v>318</v>
      </c>
      <c r="F98" s="319" t="s">
        <v>1988</v>
      </c>
      <c r="G98" s="627"/>
      <c r="H98" s="627"/>
      <c r="I98" s="624"/>
      <c r="J98" s="718" t="s">
        <v>319</v>
      </c>
      <c r="K98" s="125" t="s">
        <v>320</v>
      </c>
      <c r="L98" s="125" t="s">
        <v>1383</v>
      </c>
      <c r="M98" s="380">
        <v>1</v>
      </c>
      <c r="N98" s="127" t="s">
        <v>17</v>
      </c>
      <c r="O98" s="235"/>
      <c r="P98" s="90">
        <f t="shared" si="5"/>
        <v>1</v>
      </c>
      <c r="Q98" s="676"/>
      <c r="R98" s="726"/>
      <c r="S98" s="383" t="s">
        <v>1998</v>
      </c>
      <c r="T98" s="27"/>
      <c r="U98" s="81"/>
      <c r="V98" s="82"/>
      <c r="W98" s="81"/>
      <c r="X98" s="63"/>
      <c r="Y98" s="139"/>
      <c r="Z98" s="131"/>
      <c r="AA98" s="140"/>
      <c r="AB98" s="141"/>
      <c r="AC98" s="141"/>
    </row>
    <row r="99" spans="1:29" ht="20.25" customHeight="1">
      <c r="A99" s="359" t="s">
        <v>20</v>
      </c>
      <c r="B99" s="186"/>
      <c r="C99" s="188"/>
      <c r="D99" s="169" t="s">
        <v>467</v>
      </c>
      <c r="E99" s="124" t="s">
        <v>1996</v>
      </c>
      <c r="F99" s="319" t="s">
        <v>1988</v>
      </c>
      <c r="G99" s="627"/>
      <c r="H99" s="627"/>
      <c r="I99" s="624"/>
      <c r="J99" s="718" t="s">
        <v>1994</v>
      </c>
      <c r="K99" s="125" t="s">
        <v>1995</v>
      </c>
      <c r="L99" s="125" t="s">
        <v>1933</v>
      </c>
      <c r="M99" s="380">
        <v>2</v>
      </c>
      <c r="N99" s="127" t="s">
        <v>17</v>
      </c>
      <c r="O99" s="235"/>
      <c r="P99" s="90">
        <f t="shared" si="5"/>
        <v>2</v>
      </c>
      <c r="Q99" s="271"/>
      <c r="R99" s="726"/>
      <c r="S99" s="383" t="s">
        <v>1997</v>
      </c>
      <c r="T99" s="27"/>
      <c r="U99" s="81"/>
      <c r="V99" s="82"/>
      <c r="W99" s="81"/>
      <c r="X99" s="63"/>
      <c r="Y99" s="139"/>
      <c r="Z99" s="131"/>
      <c r="AA99" s="140"/>
      <c r="AB99" s="141"/>
      <c r="AC99" s="141"/>
    </row>
    <row r="100" spans="1:29" ht="20.25" customHeight="1">
      <c r="A100" s="359" t="s">
        <v>20</v>
      </c>
      <c r="B100" s="186"/>
      <c r="C100" s="188"/>
      <c r="D100" s="169" t="s">
        <v>467</v>
      </c>
      <c r="E100" s="124" t="s">
        <v>1728</v>
      </c>
      <c r="F100" s="319" t="s">
        <v>1988</v>
      </c>
      <c r="G100" s="627"/>
      <c r="H100" s="627"/>
      <c r="I100" s="624"/>
      <c r="J100" s="718" t="s">
        <v>1729</v>
      </c>
      <c r="K100" s="125" t="s">
        <v>1730</v>
      </c>
      <c r="L100" s="125" t="s">
        <v>1731</v>
      </c>
      <c r="M100" s="380">
        <v>9.6999999999999993</v>
      </c>
      <c r="N100" s="127" t="s">
        <v>17</v>
      </c>
      <c r="O100" s="235"/>
      <c r="P100" s="90">
        <f t="shared" si="5"/>
        <v>9.6999999999999993</v>
      </c>
      <c r="Q100" s="676"/>
      <c r="R100" s="726"/>
      <c r="S100" s="383" t="s">
        <v>2000</v>
      </c>
      <c r="T100" s="27"/>
      <c r="U100" s="81"/>
      <c r="V100" s="738"/>
      <c r="W100" s="744"/>
      <c r="X100" s="63"/>
      <c r="Y100" s="139"/>
      <c r="Z100" s="131"/>
      <c r="AA100" s="140"/>
      <c r="AB100" s="141"/>
      <c r="AC100" s="141"/>
    </row>
    <row r="101" spans="1:29" s="141" customFormat="1" ht="20.25" customHeight="1">
      <c r="A101" s="377" t="s">
        <v>2235</v>
      </c>
      <c r="B101" s="186"/>
      <c r="C101" s="188"/>
      <c r="D101" s="169" t="s">
        <v>467</v>
      </c>
      <c r="E101" s="124" t="s">
        <v>1488</v>
      </c>
      <c r="F101" s="378">
        <v>43680</v>
      </c>
      <c r="G101" s="627"/>
      <c r="H101" s="631"/>
      <c r="I101" s="632"/>
      <c r="J101" s="517" t="s">
        <v>1489</v>
      </c>
      <c r="K101" s="125" t="s">
        <v>1490</v>
      </c>
      <c r="L101" s="125" t="s">
        <v>1491</v>
      </c>
      <c r="M101" s="710">
        <v>17</v>
      </c>
      <c r="N101" s="135" t="s">
        <v>17</v>
      </c>
      <c r="O101" s="235"/>
      <c r="P101" s="90">
        <f>IF(O101="",M101,M101-O101)</f>
        <v>17</v>
      </c>
      <c r="Q101" s="382"/>
      <c r="R101" s="726"/>
      <c r="S101" s="383">
        <v>44043</v>
      </c>
      <c r="T101" s="27"/>
      <c r="U101" s="81"/>
      <c r="V101" s="82"/>
      <c r="W101" s="81"/>
      <c r="X101" s="63"/>
      <c r="Y101" s="139"/>
      <c r="Z101" s="131"/>
      <c r="AA101" s="140"/>
    </row>
    <row r="102" spans="1:29" ht="20.25" customHeight="1">
      <c r="A102" s="359" t="s">
        <v>66</v>
      </c>
      <c r="D102" s="169" t="s">
        <v>467</v>
      </c>
      <c r="E102" s="124" t="s">
        <v>1333</v>
      </c>
      <c r="F102" s="321" t="s">
        <v>2031</v>
      </c>
      <c r="G102" s="625"/>
      <c r="H102" s="626"/>
      <c r="I102" s="624"/>
      <c r="J102" s="506" t="s">
        <v>2040</v>
      </c>
      <c r="K102" s="125" t="s">
        <v>1334</v>
      </c>
      <c r="L102" s="133" t="s">
        <v>65</v>
      </c>
      <c r="M102" s="714">
        <v>1</v>
      </c>
      <c r="N102" s="171" t="s">
        <v>17</v>
      </c>
      <c r="O102" s="235"/>
      <c r="P102" s="90">
        <f t="shared" si="5"/>
        <v>1</v>
      </c>
      <c r="Q102" s="332" t="s">
        <v>2236</v>
      </c>
      <c r="R102" s="726"/>
      <c r="S102" s="288" t="s">
        <v>2041</v>
      </c>
      <c r="T102" s="27"/>
      <c r="U102" s="81"/>
      <c r="V102" s="738"/>
      <c r="W102" s="744"/>
      <c r="X102" s="60"/>
      <c r="Y102" s="60"/>
      <c r="Z102" s="83"/>
      <c r="AA102" s="62"/>
      <c r="AB102" s="142"/>
      <c r="AC102" s="117"/>
    </row>
    <row r="103" spans="1:29" ht="20.25" customHeight="1">
      <c r="A103" s="359" t="s">
        <v>66</v>
      </c>
      <c r="D103" s="123" t="s">
        <v>467</v>
      </c>
      <c r="E103" s="124" t="s">
        <v>2035</v>
      </c>
      <c r="F103" s="321" t="s">
        <v>2031</v>
      </c>
      <c r="G103" s="625"/>
      <c r="H103" s="626"/>
      <c r="I103" s="624"/>
      <c r="J103" s="506" t="s">
        <v>2036</v>
      </c>
      <c r="K103" s="125" t="s">
        <v>2037</v>
      </c>
      <c r="L103" s="133" t="s">
        <v>2038</v>
      </c>
      <c r="M103" s="714">
        <v>2</v>
      </c>
      <c r="N103" s="171" t="s">
        <v>17</v>
      </c>
      <c r="O103" s="235"/>
      <c r="P103" s="90">
        <f t="shared" ref="P103:P132" si="6">IF(O103="",M103,M103-O103)</f>
        <v>2</v>
      </c>
      <c r="Q103" s="332"/>
      <c r="R103" s="726"/>
      <c r="S103" s="288" t="s">
        <v>2039</v>
      </c>
      <c r="T103" s="27"/>
      <c r="U103" s="81"/>
      <c r="V103" s="738"/>
      <c r="W103" s="744"/>
      <c r="X103" s="60"/>
      <c r="Y103" s="60"/>
      <c r="Z103" s="83"/>
      <c r="AA103" s="62"/>
      <c r="AB103" s="142"/>
      <c r="AC103" s="117"/>
    </row>
    <row r="104" spans="1:29" s="168" customFormat="1" ht="20.25">
      <c r="A104" s="359" t="s">
        <v>66</v>
      </c>
      <c r="B104" s="157"/>
      <c r="C104" s="158"/>
      <c r="D104" s="123" t="s">
        <v>467</v>
      </c>
      <c r="E104" s="124" t="s">
        <v>1673</v>
      </c>
      <c r="F104" s="320" t="s">
        <v>1684</v>
      </c>
      <c r="G104" s="625"/>
      <c r="H104" s="626"/>
      <c r="I104" s="624"/>
      <c r="J104" s="506" t="s">
        <v>1685</v>
      </c>
      <c r="K104" s="125" t="s">
        <v>1676</v>
      </c>
      <c r="L104" s="133" t="s">
        <v>1677</v>
      </c>
      <c r="M104" s="370">
        <v>5</v>
      </c>
      <c r="N104" s="127" t="s">
        <v>17</v>
      </c>
      <c r="O104" s="235"/>
      <c r="P104" s="90">
        <f t="shared" si="6"/>
        <v>5</v>
      </c>
      <c r="Q104" s="283"/>
      <c r="R104" s="726"/>
      <c r="S104" s="277"/>
      <c r="T104" s="159"/>
      <c r="U104" s="160"/>
      <c r="V104" s="512"/>
      <c r="W104" s="160"/>
      <c r="X104" s="163"/>
      <c r="Y104" s="163"/>
      <c r="Z104" s="164"/>
      <c r="AA104" s="165"/>
      <c r="AB104" s="166"/>
      <c r="AC104" s="167"/>
    </row>
    <row r="105" spans="1:29" ht="20.25">
      <c r="A105" s="377" t="s">
        <v>20</v>
      </c>
      <c r="B105" s="186"/>
      <c r="C105" s="188"/>
      <c r="D105" s="123" t="s">
        <v>1908</v>
      </c>
      <c r="E105" s="124"/>
      <c r="F105" s="639"/>
      <c r="G105" s="627"/>
      <c r="H105" s="627"/>
      <c r="I105" s="628"/>
      <c r="J105" s="508" t="s">
        <v>1909</v>
      </c>
      <c r="K105" s="379"/>
      <c r="L105" s="125"/>
      <c r="M105" s="651">
        <v>1</v>
      </c>
      <c r="N105" s="127" t="s">
        <v>1814</v>
      </c>
      <c r="O105" s="126"/>
      <c r="P105" s="381">
        <f t="shared" si="6"/>
        <v>1</v>
      </c>
      <c r="Q105" s="382"/>
      <c r="R105" s="726"/>
      <c r="S105" s="383" t="s">
        <v>1780</v>
      </c>
      <c r="T105" s="653"/>
      <c r="U105" s="654"/>
      <c r="V105" s="672"/>
      <c r="W105" s="673"/>
      <c r="X105" s="656"/>
      <c r="Y105" s="657"/>
      <c r="Z105" s="658"/>
      <c r="AA105" s="659"/>
      <c r="AB105" s="660"/>
      <c r="AC105" s="660"/>
    </row>
    <row r="106" spans="1:29" ht="20.25">
      <c r="A106" s="377" t="s">
        <v>20</v>
      </c>
      <c r="B106" s="186"/>
      <c r="C106" s="188"/>
      <c r="D106" s="123" t="s">
        <v>1910</v>
      </c>
      <c r="E106" s="124"/>
      <c r="F106" s="639"/>
      <c r="G106" s="627"/>
      <c r="H106" s="627"/>
      <c r="I106" s="628"/>
      <c r="J106" s="508" t="s">
        <v>1911</v>
      </c>
      <c r="K106" s="379"/>
      <c r="L106" s="125"/>
      <c r="M106" s="651">
        <v>1</v>
      </c>
      <c r="N106" s="127" t="s">
        <v>17</v>
      </c>
      <c r="O106" s="126"/>
      <c r="P106" s="381">
        <f t="shared" si="6"/>
        <v>1</v>
      </c>
      <c r="Q106" s="382"/>
      <c r="R106" s="726"/>
      <c r="S106" s="383" t="s">
        <v>1780</v>
      </c>
      <c r="T106" s="653"/>
      <c r="U106" s="654"/>
      <c r="V106" s="672"/>
      <c r="W106" s="673"/>
      <c r="X106" s="656"/>
      <c r="Y106" s="657"/>
      <c r="Z106" s="658"/>
      <c r="AA106" s="659"/>
      <c r="AB106" s="660"/>
      <c r="AC106" s="660"/>
    </row>
    <row r="107" spans="1:29" s="58" customFormat="1" ht="21" customHeight="1">
      <c r="A107" s="359" t="s">
        <v>20</v>
      </c>
      <c r="B107" s="79"/>
      <c r="C107" s="80"/>
      <c r="D107" s="261" t="s">
        <v>719</v>
      </c>
      <c r="E107" s="262"/>
      <c r="F107" s="322"/>
      <c r="G107" s="627"/>
      <c r="H107" s="631"/>
      <c r="I107" s="624"/>
      <c r="J107" s="516" t="s">
        <v>1211</v>
      </c>
      <c r="K107" s="258" t="s">
        <v>546</v>
      </c>
      <c r="L107" s="354" t="s">
        <v>1212</v>
      </c>
      <c r="M107" s="371">
        <v>1</v>
      </c>
      <c r="N107" s="263" t="s">
        <v>268</v>
      </c>
      <c r="O107" s="235"/>
      <c r="P107" s="90">
        <f t="shared" si="6"/>
        <v>1</v>
      </c>
      <c r="Q107" s="329"/>
      <c r="R107" s="726"/>
      <c r="S107" s="337" t="s">
        <v>168</v>
      </c>
      <c r="T107" s="54"/>
      <c r="U107" s="73"/>
      <c r="V107" s="344"/>
      <c r="W107" s="351"/>
      <c r="X107" s="66"/>
      <c r="Y107" s="66"/>
      <c r="Z107" s="67"/>
      <c r="AA107" s="68"/>
      <c r="AB107" s="142"/>
      <c r="AC107" s="117"/>
    </row>
    <row r="108" spans="1:29" s="45" customFormat="1" ht="20.25" customHeight="1">
      <c r="A108" s="359" t="s">
        <v>66</v>
      </c>
      <c r="B108" s="8"/>
      <c r="C108" s="76" t="str">
        <f>K$2</f>
        <v>10/08/2019</v>
      </c>
      <c r="D108" s="261" t="s">
        <v>807</v>
      </c>
      <c r="E108" s="262"/>
      <c r="F108" s="322"/>
      <c r="G108" s="627"/>
      <c r="H108" s="631"/>
      <c r="I108" s="624"/>
      <c r="J108" s="516" t="s">
        <v>1211</v>
      </c>
      <c r="K108" s="258" t="s">
        <v>546</v>
      </c>
      <c r="L108" s="354" t="s">
        <v>1212</v>
      </c>
      <c r="M108" s="371">
        <v>1</v>
      </c>
      <c r="N108" s="263" t="s">
        <v>268</v>
      </c>
      <c r="O108" s="235"/>
      <c r="P108" s="90">
        <f t="shared" si="6"/>
        <v>1</v>
      </c>
      <c r="Q108" s="329"/>
      <c r="R108" s="726"/>
      <c r="S108" s="337" t="s">
        <v>168</v>
      </c>
      <c r="T108" s="54"/>
      <c r="U108" s="73"/>
      <c r="V108" s="74"/>
      <c r="W108" s="73"/>
      <c r="X108" s="66"/>
      <c r="Y108" s="66"/>
      <c r="Z108" s="67"/>
      <c r="AA108" s="68"/>
      <c r="AB108" s="142"/>
      <c r="AC108" s="117"/>
    </row>
    <row r="109" spans="1:29" s="141" customFormat="1" ht="20.25" customHeight="1">
      <c r="A109" s="377" t="s">
        <v>28</v>
      </c>
      <c r="B109" s="186"/>
      <c r="C109" s="188"/>
      <c r="D109" s="249" t="s">
        <v>935</v>
      </c>
      <c r="E109" s="124" t="s">
        <v>2255</v>
      </c>
      <c r="F109" s="319">
        <v>43683</v>
      </c>
      <c r="G109" s="627"/>
      <c r="H109" s="631"/>
      <c r="I109" s="632"/>
      <c r="J109" s="517" t="s">
        <v>2256</v>
      </c>
      <c r="K109" s="125" t="s">
        <v>2257</v>
      </c>
      <c r="L109" s="125" t="s">
        <v>2258</v>
      </c>
      <c r="M109" s="710">
        <v>1</v>
      </c>
      <c r="N109" s="135" t="s">
        <v>17</v>
      </c>
      <c r="O109" s="235"/>
      <c r="P109" s="90">
        <f t="shared" si="6"/>
        <v>1</v>
      </c>
      <c r="Q109" s="382"/>
      <c r="R109" s="726"/>
      <c r="S109" s="383" t="s">
        <v>168</v>
      </c>
      <c r="T109" s="27"/>
      <c r="U109" s="81"/>
      <c r="V109" s="82"/>
      <c r="W109" s="81"/>
      <c r="X109" s="63"/>
      <c r="Y109" s="139"/>
      <c r="Z109" s="131"/>
      <c r="AA109" s="140"/>
    </row>
    <row r="110" spans="1:29" s="141" customFormat="1" ht="20.25" customHeight="1">
      <c r="A110" s="377" t="s">
        <v>28</v>
      </c>
      <c r="B110" s="186"/>
      <c r="C110" s="188"/>
      <c r="D110" s="249" t="s">
        <v>935</v>
      </c>
      <c r="E110" s="124" t="s">
        <v>1042</v>
      </c>
      <c r="F110" s="319" t="s">
        <v>2121</v>
      </c>
      <c r="G110" s="627"/>
      <c r="H110" s="631"/>
      <c r="I110" s="632" t="s">
        <v>2307</v>
      </c>
      <c r="J110" s="517" t="s">
        <v>2122</v>
      </c>
      <c r="K110" s="125" t="s">
        <v>2123</v>
      </c>
      <c r="L110" s="125" t="s">
        <v>2125</v>
      </c>
      <c r="M110" s="710">
        <v>6</v>
      </c>
      <c r="N110" s="135" t="s">
        <v>17</v>
      </c>
      <c r="O110" s="235">
        <v>1</v>
      </c>
      <c r="P110" s="90">
        <f t="shared" si="6"/>
        <v>5</v>
      </c>
      <c r="Q110" s="382" t="s">
        <v>2124</v>
      </c>
      <c r="R110" s="726"/>
      <c r="S110" s="383" t="s">
        <v>168</v>
      </c>
      <c r="T110" s="27"/>
      <c r="U110" s="81"/>
      <c r="V110" s="82"/>
      <c r="W110" s="81"/>
      <c r="X110" s="63"/>
      <c r="Y110" s="139"/>
      <c r="Z110" s="131"/>
      <c r="AA110" s="140"/>
    </row>
    <row r="111" spans="1:29" s="168" customFormat="1" ht="20.25">
      <c r="A111" s="359" t="s">
        <v>66</v>
      </c>
      <c r="B111" s="157"/>
      <c r="C111" s="158"/>
      <c r="D111" s="249" t="s">
        <v>935</v>
      </c>
      <c r="E111" s="124" t="s">
        <v>241</v>
      </c>
      <c r="F111" s="320">
        <v>43560</v>
      </c>
      <c r="G111" s="625"/>
      <c r="H111" s="626"/>
      <c r="I111" s="624"/>
      <c r="J111" s="506" t="s">
        <v>1829</v>
      </c>
      <c r="K111" s="125" t="s">
        <v>1362</v>
      </c>
      <c r="L111" s="133" t="s">
        <v>242</v>
      </c>
      <c r="M111" s="370">
        <v>20</v>
      </c>
      <c r="N111" s="171" t="s">
        <v>17</v>
      </c>
      <c r="O111" s="235"/>
      <c r="P111" s="90">
        <f t="shared" si="6"/>
        <v>20</v>
      </c>
      <c r="Q111" s="526"/>
      <c r="R111" s="726"/>
      <c r="S111" s="277" t="s">
        <v>1818</v>
      </c>
      <c r="T111" s="159"/>
      <c r="U111" s="160"/>
      <c r="V111" s="512"/>
      <c r="W111" s="160"/>
      <c r="X111" s="163"/>
      <c r="Y111" s="163"/>
      <c r="Z111" s="164"/>
      <c r="AA111" s="165"/>
      <c r="AB111" s="166"/>
      <c r="AC111" s="167"/>
    </row>
    <row r="112" spans="1:29" s="141" customFormat="1" ht="20.25" customHeight="1">
      <c r="A112" s="377" t="s">
        <v>218</v>
      </c>
      <c r="B112" s="186"/>
      <c r="C112" s="188"/>
      <c r="D112" s="249" t="s">
        <v>567</v>
      </c>
      <c r="E112" s="124" t="s">
        <v>1607</v>
      </c>
      <c r="F112" s="378">
        <v>43665</v>
      </c>
      <c r="G112" s="627"/>
      <c r="H112" s="631"/>
      <c r="I112" s="632" t="s">
        <v>2337</v>
      </c>
      <c r="J112" s="517" t="s">
        <v>2336</v>
      </c>
      <c r="K112" s="125" t="s">
        <v>1018</v>
      </c>
      <c r="L112" s="125" t="s">
        <v>86</v>
      </c>
      <c r="M112" s="514">
        <v>52</v>
      </c>
      <c r="N112" s="135" t="s">
        <v>17</v>
      </c>
      <c r="O112" s="235"/>
      <c r="P112" s="90">
        <f t="shared" si="6"/>
        <v>52</v>
      </c>
      <c r="Q112" s="382"/>
      <c r="R112" s="629"/>
      <c r="S112" s="383">
        <v>44012</v>
      </c>
      <c r="T112" s="27"/>
      <c r="U112" s="81"/>
      <c r="V112" s="82"/>
      <c r="W112" s="81"/>
      <c r="X112" s="63"/>
      <c r="Y112" s="139"/>
      <c r="Z112" s="131"/>
      <c r="AA112" s="140"/>
    </row>
    <row r="113" spans="1:68" s="168" customFormat="1" ht="18.75" customHeight="1">
      <c r="A113" s="359" t="s">
        <v>20</v>
      </c>
      <c r="B113" s="157"/>
      <c r="C113" s="158"/>
      <c r="D113" s="249" t="s">
        <v>587</v>
      </c>
      <c r="E113" s="233" t="s">
        <v>1500</v>
      </c>
      <c r="F113" s="562">
        <v>43413</v>
      </c>
      <c r="G113" s="625"/>
      <c r="H113" s="626"/>
      <c r="I113" s="624"/>
      <c r="J113" s="519" t="s">
        <v>1501</v>
      </c>
      <c r="K113" s="234" t="s">
        <v>901</v>
      </c>
      <c r="L113" s="3" t="s">
        <v>6</v>
      </c>
      <c r="M113" s="563">
        <v>11</v>
      </c>
      <c r="N113" s="236" t="s">
        <v>17</v>
      </c>
      <c r="O113" s="235"/>
      <c r="P113" s="90">
        <f t="shared" ref="P113" si="7">IF(O113="",M113,M113-O113)</f>
        <v>11</v>
      </c>
      <c r="Q113" s="283"/>
      <c r="R113" s="726"/>
      <c r="S113" s="277">
        <v>44083</v>
      </c>
      <c r="T113" s="160"/>
      <c r="U113" s="160"/>
      <c r="V113" s="564"/>
      <c r="W113" s="162"/>
      <c r="X113" s="163"/>
      <c r="Y113" s="163"/>
      <c r="Z113" s="164"/>
      <c r="AA113" s="165"/>
      <c r="AB113" s="166"/>
      <c r="AC113" s="167"/>
    </row>
    <row r="114" spans="1:68" s="168" customFormat="1" ht="20.25">
      <c r="A114" s="359" t="s">
        <v>28</v>
      </c>
      <c r="B114" s="157"/>
      <c r="C114" s="158"/>
      <c r="D114" s="169" t="s">
        <v>587</v>
      </c>
      <c r="E114" s="124" t="s">
        <v>1686</v>
      </c>
      <c r="F114" s="320">
        <v>43560</v>
      </c>
      <c r="G114" s="625"/>
      <c r="H114" s="626"/>
      <c r="I114" s="624"/>
      <c r="J114" s="506" t="s">
        <v>1687</v>
      </c>
      <c r="K114" s="125" t="s">
        <v>253</v>
      </c>
      <c r="L114" s="133" t="s">
        <v>212</v>
      </c>
      <c r="M114" s="370">
        <v>2</v>
      </c>
      <c r="N114" s="127" t="s">
        <v>17</v>
      </c>
      <c r="O114" s="235"/>
      <c r="P114" s="90">
        <f t="shared" si="6"/>
        <v>2</v>
      </c>
      <c r="Q114" s="271"/>
      <c r="R114" s="726"/>
      <c r="S114" s="383" t="s">
        <v>168</v>
      </c>
      <c r="T114" s="159"/>
      <c r="U114" s="160"/>
      <c r="V114" s="512"/>
      <c r="W114" s="160"/>
      <c r="X114" s="163"/>
      <c r="Y114" s="163"/>
      <c r="Z114" s="164"/>
      <c r="AA114" s="165"/>
      <c r="AB114" s="166"/>
      <c r="AC114" s="167"/>
    </row>
    <row r="115" spans="1:68" s="168" customFormat="1" ht="18.75" customHeight="1">
      <c r="A115" s="359" t="s">
        <v>28</v>
      </c>
      <c r="B115" s="157"/>
      <c r="C115" s="158"/>
      <c r="D115" s="249" t="s">
        <v>587</v>
      </c>
      <c r="E115" s="124" t="s">
        <v>1895</v>
      </c>
      <c r="F115" s="320"/>
      <c r="G115" s="625"/>
      <c r="H115" s="626"/>
      <c r="I115" s="624"/>
      <c r="J115" s="506" t="s">
        <v>1894</v>
      </c>
      <c r="K115" s="125" t="s">
        <v>944</v>
      </c>
      <c r="L115" s="133" t="s">
        <v>212</v>
      </c>
      <c r="M115" s="370">
        <v>1</v>
      </c>
      <c r="N115" s="127" t="s">
        <v>17</v>
      </c>
      <c r="O115" s="235"/>
      <c r="P115" s="90">
        <f t="shared" si="6"/>
        <v>1</v>
      </c>
      <c r="Q115" s="283" t="s">
        <v>2127</v>
      </c>
      <c r="R115" s="726"/>
      <c r="S115" s="288" t="s">
        <v>168</v>
      </c>
      <c r="T115" s="159"/>
      <c r="U115" s="160"/>
      <c r="V115" s="512"/>
      <c r="W115" s="160"/>
      <c r="X115" s="163"/>
      <c r="Y115" s="163"/>
      <c r="Z115" s="164"/>
      <c r="AA115" s="165"/>
      <c r="AB115" s="166"/>
      <c r="AC115" s="167"/>
    </row>
    <row r="116" spans="1:68" s="168" customFormat="1" ht="18.75" customHeight="1">
      <c r="A116" s="359" t="s">
        <v>28</v>
      </c>
      <c r="B116" s="157"/>
      <c r="C116" s="158"/>
      <c r="D116" s="249" t="s">
        <v>587</v>
      </c>
      <c r="E116" s="124" t="s">
        <v>1791</v>
      </c>
      <c r="F116" s="320">
        <v>43532</v>
      </c>
      <c r="G116" s="625"/>
      <c r="H116" s="626"/>
      <c r="I116" s="624"/>
      <c r="J116" s="506" t="s">
        <v>1792</v>
      </c>
      <c r="K116" s="125" t="s">
        <v>1793</v>
      </c>
      <c r="L116" s="133" t="s">
        <v>1794</v>
      </c>
      <c r="M116" s="370">
        <v>1</v>
      </c>
      <c r="N116" s="127" t="s">
        <v>17</v>
      </c>
      <c r="O116" s="235"/>
      <c r="P116" s="90">
        <f t="shared" si="6"/>
        <v>1</v>
      </c>
      <c r="Q116" s="283"/>
      <c r="R116" s="726"/>
      <c r="S116" s="288" t="s">
        <v>168</v>
      </c>
      <c r="T116" s="159"/>
      <c r="U116" s="160"/>
      <c r="V116" s="512"/>
      <c r="W116" s="160"/>
      <c r="X116" s="163"/>
      <c r="Y116" s="163"/>
      <c r="Z116" s="164"/>
      <c r="AA116" s="165"/>
      <c r="AB116" s="166"/>
      <c r="AC116" s="167"/>
    </row>
    <row r="117" spans="1:68" s="168" customFormat="1" ht="18.75" customHeight="1">
      <c r="A117" s="359" t="s">
        <v>28</v>
      </c>
      <c r="B117" s="157"/>
      <c r="C117" s="158"/>
      <c r="D117" s="249" t="s">
        <v>587</v>
      </c>
      <c r="E117" s="124" t="s">
        <v>1795</v>
      </c>
      <c r="F117" s="320">
        <v>43532</v>
      </c>
      <c r="G117" s="625"/>
      <c r="H117" s="626"/>
      <c r="I117" s="624"/>
      <c r="J117" s="506" t="s">
        <v>1796</v>
      </c>
      <c r="K117" s="125" t="s">
        <v>1797</v>
      </c>
      <c r="L117" s="133" t="s">
        <v>1794</v>
      </c>
      <c r="M117" s="370">
        <v>3</v>
      </c>
      <c r="N117" s="127" t="s">
        <v>17</v>
      </c>
      <c r="O117" s="235">
        <v>1</v>
      </c>
      <c r="P117" s="90">
        <f t="shared" si="6"/>
        <v>2</v>
      </c>
      <c r="Q117" s="283"/>
      <c r="R117" s="726" t="s">
        <v>2294</v>
      </c>
      <c r="S117" s="288" t="s">
        <v>168</v>
      </c>
      <c r="T117" s="159"/>
      <c r="U117" s="160"/>
      <c r="V117" s="512"/>
      <c r="W117" s="160"/>
      <c r="X117" s="163"/>
      <c r="Y117" s="163"/>
      <c r="Z117" s="164"/>
      <c r="AA117" s="165"/>
      <c r="AB117" s="166"/>
      <c r="AC117" s="167"/>
    </row>
    <row r="118" spans="1:68" s="168" customFormat="1" ht="18.75" customHeight="1">
      <c r="A118" s="377" t="s">
        <v>20</v>
      </c>
      <c r="B118" s="157"/>
      <c r="C118" s="158"/>
      <c r="D118" s="249" t="s">
        <v>587</v>
      </c>
      <c r="E118" s="233" t="s">
        <v>418</v>
      </c>
      <c r="F118" s="562" t="s">
        <v>1708</v>
      </c>
      <c r="G118" s="625"/>
      <c r="H118" s="626"/>
      <c r="I118" s="624"/>
      <c r="J118" s="519" t="s">
        <v>135</v>
      </c>
      <c r="K118" s="234" t="s">
        <v>644</v>
      </c>
      <c r="L118" s="3" t="s">
        <v>11</v>
      </c>
      <c r="M118" s="563">
        <v>5</v>
      </c>
      <c r="N118" s="236" t="s">
        <v>17</v>
      </c>
      <c r="O118" s="235"/>
      <c r="P118" s="90">
        <f t="shared" si="6"/>
        <v>5</v>
      </c>
      <c r="Q118" s="283"/>
      <c r="R118" s="726"/>
      <c r="S118" s="277" t="s">
        <v>1709</v>
      </c>
      <c r="T118" s="160"/>
      <c r="U118" s="160"/>
      <c r="V118" s="564"/>
      <c r="W118" s="162"/>
      <c r="X118" s="163"/>
      <c r="Y118" s="163"/>
      <c r="Z118" s="164"/>
      <c r="AA118" s="165"/>
      <c r="AB118" s="166"/>
      <c r="AC118" s="167"/>
    </row>
    <row r="119" spans="1:68" ht="19.5" customHeight="1">
      <c r="A119" s="359" t="s">
        <v>20</v>
      </c>
      <c r="D119" s="15" t="s">
        <v>587</v>
      </c>
      <c r="E119" s="233" t="s">
        <v>1302</v>
      </c>
      <c r="F119" s="319">
        <v>43217</v>
      </c>
      <c r="G119" s="627"/>
      <c r="H119" s="631"/>
      <c r="I119" s="624"/>
      <c r="J119" s="519" t="s">
        <v>1303</v>
      </c>
      <c r="K119" s="234" t="s">
        <v>1304</v>
      </c>
      <c r="L119" s="3" t="s">
        <v>1305</v>
      </c>
      <c r="M119" s="369">
        <v>1</v>
      </c>
      <c r="N119" s="236" t="s">
        <v>17</v>
      </c>
      <c r="O119" s="235"/>
      <c r="P119" s="90">
        <f t="shared" si="6"/>
        <v>1</v>
      </c>
      <c r="Q119" s="271"/>
      <c r="R119" s="726"/>
      <c r="S119" s="277">
        <v>43546</v>
      </c>
      <c r="T119" s="27"/>
      <c r="U119" s="8"/>
      <c r="V119" s="121"/>
      <c r="W119" s="8"/>
      <c r="X119" s="63"/>
      <c r="Y119" s="63"/>
      <c r="Z119" s="64"/>
      <c r="AA119" s="65"/>
      <c r="AB119" s="144"/>
      <c r="AC119"/>
    </row>
    <row r="120" spans="1:68" ht="19.5" customHeight="1">
      <c r="A120" s="359" t="s">
        <v>20</v>
      </c>
      <c r="D120" s="15" t="s">
        <v>587</v>
      </c>
      <c r="E120" s="233" t="s">
        <v>1023</v>
      </c>
      <c r="F120" s="319">
        <v>43294</v>
      </c>
      <c r="G120" s="627"/>
      <c r="H120" s="631"/>
      <c r="I120" s="624"/>
      <c r="J120" s="519" t="s">
        <v>1391</v>
      </c>
      <c r="K120" s="234" t="s">
        <v>1024</v>
      </c>
      <c r="L120" s="3" t="s">
        <v>1392</v>
      </c>
      <c r="M120" s="369">
        <v>1</v>
      </c>
      <c r="N120" s="236" t="s">
        <v>17</v>
      </c>
      <c r="O120" s="235"/>
      <c r="P120" s="90">
        <f t="shared" si="6"/>
        <v>1</v>
      </c>
      <c r="Q120" s="271"/>
      <c r="R120" s="726"/>
      <c r="S120" s="277" t="s">
        <v>168</v>
      </c>
      <c r="T120" s="27"/>
      <c r="U120" s="8"/>
      <c r="V120" s="121"/>
      <c r="W120" s="8"/>
      <c r="X120" s="63"/>
      <c r="Y120" s="63"/>
      <c r="Z120" s="64"/>
      <c r="AA120" s="65"/>
      <c r="AB120" s="144"/>
      <c r="AC120"/>
    </row>
    <row r="121" spans="1:68" ht="20.25" customHeight="1">
      <c r="A121" s="359" t="s">
        <v>20</v>
      </c>
      <c r="D121" s="169" t="s">
        <v>587</v>
      </c>
      <c r="E121" s="124" t="s">
        <v>731</v>
      </c>
      <c r="F121" s="323">
        <v>42923</v>
      </c>
      <c r="G121" s="627"/>
      <c r="H121" s="631"/>
      <c r="I121" s="624"/>
      <c r="J121" s="506" t="s">
        <v>732</v>
      </c>
      <c r="K121" s="125" t="s">
        <v>733</v>
      </c>
      <c r="L121" s="133" t="s">
        <v>734</v>
      </c>
      <c r="M121" s="368">
        <v>8</v>
      </c>
      <c r="N121" s="127" t="s">
        <v>17</v>
      </c>
      <c r="O121" s="235"/>
      <c r="P121" s="90">
        <f t="shared" si="6"/>
        <v>8</v>
      </c>
      <c r="Q121" s="271"/>
      <c r="R121" s="726"/>
      <c r="S121" s="287">
        <v>43191</v>
      </c>
      <c r="T121" s="35"/>
      <c r="U121" s="1"/>
      <c r="V121" s="50"/>
      <c r="W121" s="50"/>
      <c r="X121" s="63"/>
      <c r="Y121" s="63"/>
      <c r="Z121" s="64"/>
      <c r="AA121" s="65"/>
      <c r="AB121" s="142"/>
      <c r="AC121" s="117"/>
    </row>
    <row r="122" spans="1:68" s="45" customFormat="1" ht="20.25" customHeight="1">
      <c r="A122" s="359" t="s">
        <v>66</v>
      </c>
      <c r="B122" s="8"/>
      <c r="C122" s="76" t="str">
        <f>K$2</f>
        <v>10/08/2019</v>
      </c>
      <c r="D122" s="261" t="s">
        <v>462</v>
      </c>
      <c r="E122" s="262"/>
      <c r="F122" s="322"/>
      <c r="G122" s="627"/>
      <c r="H122" s="631"/>
      <c r="I122" s="624"/>
      <c r="J122" s="516" t="s">
        <v>1211</v>
      </c>
      <c r="K122" s="258" t="s">
        <v>546</v>
      </c>
      <c r="L122" s="354" t="s">
        <v>1212</v>
      </c>
      <c r="M122" s="371">
        <v>1</v>
      </c>
      <c r="N122" s="263" t="s">
        <v>268</v>
      </c>
      <c r="O122" s="235"/>
      <c r="P122" s="90">
        <f t="shared" si="6"/>
        <v>1</v>
      </c>
      <c r="Q122" s="329"/>
      <c r="R122" s="726"/>
      <c r="S122" s="337" t="s">
        <v>168</v>
      </c>
      <c r="T122" s="54"/>
      <c r="U122" s="73"/>
      <c r="V122" s="74"/>
      <c r="W122" s="73"/>
      <c r="X122" s="66"/>
      <c r="Y122" s="66"/>
      <c r="Z122" s="67"/>
      <c r="AA122" s="68"/>
      <c r="AB122" s="142"/>
      <c r="AC122" s="117"/>
    </row>
    <row r="123" spans="1:68" s="648" customFormat="1" ht="21.95" customHeight="1">
      <c r="A123" s="377" t="s">
        <v>66</v>
      </c>
      <c r="C123" s="677"/>
      <c r="D123" s="169" t="s">
        <v>603</v>
      </c>
      <c r="E123" s="678" t="s">
        <v>1984</v>
      </c>
      <c r="F123" s="639" t="s">
        <v>1982</v>
      </c>
      <c r="G123" s="627"/>
      <c r="H123" s="627"/>
      <c r="I123" s="628"/>
      <c r="J123" s="722" t="s">
        <v>1312</v>
      </c>
      <c r="K123" s="687" t="s">
        <v>194</v>
      </c>
      <c r="L123" s="679" t="s">
        <v>83</v>
      </c>
      <c r="M123" s="651">
        <v>21</v>
      </c>
      <c r="N123" s="652" t="s">
        <v>17</v>
      </c>
      <c r="O123" s="663"/>
      <c r="P123" s="381">
        <f t="shared" si="6"/>
        <v>21</v>
      </c>
      <c r="Q123" s="604"/>
      <c r="R123" s="726"/>
      <c r="S123" s="383" t="s">
        <v>168</v>
      </c>
      <c r="T123" s="653"/>
      <c r="U123" s="654"/>
      <c r="V123" s="655"/>
      <c r="W123" s="654"/>
      <c r="X123" s="656"/>
      <c r="Y123" s="656"/>
      <c r="Z123" s="680"/>
      <c r="AA123" s="681"/>
      <c r="AB123" s="682"/>
      <c r="AC123" s="682"/>
      <c r="AD123" s="682"/>
      <c r="AE123" s="682"/>
      <c r="AF123" s="682"/>
      <c r="AG123" s="682"/>
      <c r="AH123" s="682"/>
      <c r="AI123" s="682"/>
      <c r="AJ123" s="682"/>
      <c r="AK123" s="682"/>
      <c r="AL123" s="682"/>
      <c r="AM123" s="682"/>
      <c r="AN123" s="682"/>
      <c r="AO123" s="682"/>
      <c r="AP123" s="682"/>
      <c r="AQ123" s="682"/>
      <c r="AR123" s="682"/>
      <c r="AS123" s="682"/>
      <c r="AT123" s="682"/>
      <c r="AU123" s="682"/>
      <c r="AV123" s="682"/>
      <c r="AW123" s="682"/>
      <c r="AX123" s="682"/>
      <c r="AY123" s="682"/>
      <c r="AZ123" s="682"/>
      <c r="BA123" s="682"/>
      <c r="BB123" s="682"/>
      <c r="BC123" s="682"/>
      <c r="BD123" s="682"/>
      <c r="BE123" s="682"/>
      <c r="BF123" s="682"/>
      <c r="BG123" s="682"/>
      <c r="BH123" s="682"/>
      <c r="BI123" s="682"/>
      <c r="BJ123" s="682"/>
      <c r="BK123" s="682"/>
      <c r="BL123" s="682"/>
      <c r="BM123" s="682"/>
      <c r="BN123" s="682"/>
      <c r="BO123" s="682"/>
      <c r="BP123" s="682"/>
    </row>
    <row r="124" spans="1:68" s="45" customFormat="1" ht="20.25" customHeight="1">
      <c r="A124" s="359" t="s">
        <v>66</v>
      </c>
      <c r="B124" s="8"/>
      <c r="C124" s="76" t="str">
        <f>K$2</f>
        <v>10/08/2019</v>
      </c>
      <c r="D124" s="261" t="s">
        <v>535</v>
      </c>
      <c r="E124" s="262"/>
      <c r="F124" s="322"/>
      <c r="G124" s="627"/>
      <c r="H124" s="631"/>
      <c r="I124" s="624"/>
      <c r="J124" s="516" t="s">
        <v>1211</v>
      </c>
      <c r="K124" s="258" t="s">
        <v>546</v>
      </c>
      <c r="L124" s="354" t="s">
        <v>1212</v>
      </c>
      <c r="M124" s="371">
        <v>1</v>
      </c>
      <c r="N124" s="263" t="s">
        <v>268</v>
      </c>
      <c r="O124" s="235"/>
      <c r="P124" s="90">
        <f t="shared" si="6"/>
        <v>1</v>
      </c>
      <c r="Q124" s="329" t="s">
        <v>1907</v>
      </c>
      <c r="R124" s="726"/>
      <c r="S124" s="337" t="s">
        <v>168</v>
      </c>
      <c r="T124" s="54"/>
      <c r="U124" s="73"/>
      <c r="V124" s="74"/>
      <c r="W124" s="73"/>
      <c r="X124" s="66"/>
      <c r="Y124" s="66"/>
      <c r="Z124" s="67"/>
      <c r="AA124" s="68"/>
      <c r="AB124" s="142"/>
      <c r="AC124" s="117"/>
    </row>
    <row r="125" spans="1:68" ht="21.75" customHeight="1">
      <c r="A125" s="359" t="s">
        <v>52</v>
      </c>
      <c r="B125" s="186"/>
      <c r="C125" s="188"/>
      <c r="D125" s="123" t="s">
        <v>2157</v>
      </c>
      <c r="E125" s="124" t="s">
        <v>2087</v>
      </c>
      <c r="F125" s="319" t="s">
        <v>2085</v>
      </c>
      <c r="G125" s="627"/>
      <c r="H125" s="627"/>
      <c r="I125" s="628"/>
      <c r="J125" s="508" t="s">
        <v>2089</v>
      </c>
      <c r="K125" s="379" t="s">
        <v>881</v>
      </c>
      <c r="L125" s="125" t="s">
        <v>2088</v>
      </c>
      <c r="M125" s="380">
        <v>10</v>
      </c>
      <c r="N125" s="236" t="s">
        <v>17</v>
      </c>
      <c r="O125" s="235"/>
      <c r="P125" s="90">
        <f t="shared" si="6"/>
        <v>10</v>
      </c>
      <c r="Q125" s="382"/>
      <c r="R125" s="726"/>
      <c r="S125" s="383" t="s">
        <v>2066</v>
      </c>
      <c r="T125" s="27"/>
      <c r="U125" s="81"/>
      <c r="V125" s="82"/>
      <c r="W125" s="81"/>
      <c r="X125" s="63"/>
      <c r="Y125" s="139"/>
      <c r="Z125" s="131"/>
      <c r="AA125" s="140"/>
      <c r="AB125" s="141"/>
      <c r="AC125" s="141"/>
    </row>
    <row r="126" spans="1:68" s="141" customFormat="1" ht="20.25" customHeight="1">
      <c r="A126" s="359" t="s">
        <v>28</v>
      </c>
      <c r="C126" s="122"/>
      <c r="D126" s="123" t="s">
        <v>536</v>
      </c>
      <c r="E126" s="124" t="s">
        <v>1339</v>
      </c>
      <c r="F126" s="319">
        <v>43248</v>
      </c>
      <c r="G126" s="627"/>
      <c r="H126" s="627"/>
      <c r="I126" s="628"/>
      <c r="J126" s="721" t="s">
        <v>1340</v>
      </c>
      <c r="K126" s="125" t="s">
        <v>1341</v>
      </c>
      <c r="L126" s="125" t="s">
        <v>1912</v>
      </c>
      <c r="M126" s="380">
        <v>9</v>
      </c>
      <c r="N126" s="236" t="s">
        <v>17</v>
      </c>
      <c r="O126" s="235"/>
      <c r="P126" s="90">
        <f t="shared" si="6"/>
        <v>9</v>
      </c>
      <c r="Q126" s="382" t="s">
        <v>1311</v>
      </c>
      <c r="R126" s="726"/>
      <c r="S126" s="383" t="s">
        <v>168</v>
      </c>
      <c r="T126"/>
      <c r="U126"/>
      <c r="V126"/>
      <c r="W126"/>
      <c r="X126" s="256"/>
      <c r="Y126" s="63"/>
      <c r="Z126" s="257">
        <f>25171.2/576</f>
        <v>43.7</v>
      </c>
      <c r="AA126" s="65"/>
      <c r="AB126"/>
      <c r="AC126"/>
    </row>
    <row r="127" spans="1:68" s="53" customFormat="1" ht="20.25" customHeight="1">
      <c r="A127" s="359" t="s">
        <v>28</v>
      </c>
      <c r="C127" s="84"/>
      <c r="D127" s="261" t="s">
        <v>555</v>
      </c>
      <c r="E127" s="262"/>
      <c r="F127" s="322"/>
      <c r="G127" s="627"/>
      <c r="H127" s="631"/>
      <c r="I127" s="624"/>
      <c r="J127" s="516" t="s">
        <v>1211</v>
      </c>
      <c r="K127" s="258" t="s">
        <v>546</v>
      </c>
      <c r="L127" s="354" t="s">
        <v>1212</v>
      </c>
      <c r="M127" s="371">
        <v>1</v>
      </c>
      <c r="N127" s="263" t="s">
        <v>268</v>
      </c>
      <c r="O127" s="271"/>
      <c r="P127" s="90">
        <f t="shared" si="6"/>
        <v>1</v>
      </c>
      <c r="Q127" s="329"/>
      <c r="R127" s="726"/>
      <c r="S127" s="337" t="s">
        <v>168</v>
      </c>
      <c r="T127" s="54"/>
      <c r="U127" s="73"/>
      <c r="V127" s="74"/>
      <c r="W127" s="73"/>
      <c r="X127" s="66"/>
      <c r="Y127" s="66"/>
      <c r="Z127" s="67"/>
      <c r="AA127" s="68"/>
      <c r="AB127" s="142"/>
      <c r="AC127" s="117"/>
    </row>
    <row r="128" spans="1:68" s="168" customFormat="1" ht="18.75" customHeight="1">
      <c r="A128" s="377" t="s">
        <v>218</v>
      </c>
      <c r="B128" s="157"/>
      <c r="C128" s="158"/>
      <c r="D128" s="15" t="s">
        <v>808</v>
      </c>
      <c r="E128" s="124" t="s">
        <v>1371</v>
      </c>
      <c r="F128" s="320">
        <v>43398</v>
      </c>
      <c r="G128" s="625"/>
      <c r="H128" s="626"/>
      <c r="I128" s="624"/>
      <c r="J128" s="506" t="s">
        <v>1372</v>
      </c>
      <c r="K128" s="125"/>
      <c r="L128" s="133" t="s">
        <v>1373</v>
      </c>
      <c r="M128" s="370">
        <v>2</v>
      </c>
      <c r="N128" s="127" t="s">
        <v>17</v>
      </c>
      <c r="O128" s="235"/>
      <c r="P128" s="90">
        <f t="shared" si="6"/>
        <v>2</v>
      </c>
      <c r="Q128" s="283"/>
      <c r="R128" s="726"/>
      <c r="S128" s="383" t="s">
        <v>168</v>
      </c>
      <c r="T128" s="159"/>
      <c r="U128" s="160"/>
      <c r="V128" s="161"/>
      <c r="W128" s="162"/>
      <c r="X128" s="163"/>
      <c r="Y128" s="163"/>
      <c r="Z128" s="164"/>
      <c r="AA128" s="165"/>
      <c r="AB128" s="166"/>
      <c r="AC128" s="167"/>
    </row>
    <row r="129" spans="1:68" s="53" customFormat="1" ht="20.25" customHeight="1">
      <c r="A129" s="359" t="s">
        <v>28</v>
      </c>
      <c r="C129" s="84"/>
      <c r="D129" s="261" t="s">
        <v>808</v>
      </c>
      <c r="E129" s="262"/>
      <c r="F129" s="322"/>
      <c r="G129" s="627"/>
      <c r="H129" s="631"/>
      <c r="I129" s="624"/>
      <c r="J129" s="516" t="s">
        <v>1211</v>
      </c>
      <c r="K129" s="258" t="s">
        <v>546</v>
      </c>
      <c r="L129" s="354" t="s">
        <v>1212</v>
      </c>
      <c r="M129" s="371">
        <v>1</v>
      </c>
      <c r="N129" s="263" t="s">
        <v>268</v>
      </c>
      <c r="O129" s="271"/>
      <c r="P129" s="90">
        <f t="shared" si="6"/>
        <v>1</v>
      </c>
      <c r="Q129" s="329"/>
      <c r="R129" s="726"/>
      <c r="S129" s="337" t="s">
        <v>168</v>
      </c>
      <c r="T129" s="54"/>
      <c r="U129" s="73"/>
      <c r="V129" s="74"/>
      <c r="W129" s="73"/>
      <c r="X129" s="66"/>
      <c r="Y129" s="66"/>
      <c r="Z129" s="67"/>
      <c r="AA129" s="68"/>
      <c r="AB129" s="142"/>
      <c r="AC129" s="117"/>
    </row>
    <row r="130" spans="1:68" s="141" customFormat="1" ht="20.25" customHeight="1">
      <c r="A130" s="377" t="s">
        <v>20</v>
      </c>
      <c r="B130" s="186"/>
      <c r="C130" s="188"/>
      <c r="D130" s="15" t="s">
        <v>745</v>
      </c>
      <c r="E130" s="124" t="s">
        <v>72</v>
      </c>
      <c r="F130" s="378" t="s">
        <v>1922</v>
      </c>
      <c r="G130" s="627"/>
      <c r="H130" s="631"/>
      <c r="I130" s="632" t="s">
        <v>2350</v>
      </c>
      <c r="J130" s="517" t="s">
        <v>2262</v>
      </c>
      <c r="K130" s="125" t="s">
        <v>13</v>
      </c>
      <c r="L130" s="125" t="s">
        <v>11</v>
      </c>
      <c r="M130" s="514">
        <v>6</v>
      </c>
      <c r="N130" s="135" t="s">
        <v>17</v>
      </c>
      <c r="O130" s="235"/>
      <c r="P130" s="90">
        <f t="shared" si="6"/>
        <v>6</v>
      </c>
      <c r="Q130" s="382"/>
      <c r="R130" s="726"/>
      <c r="S130" s="383" t="s">
        <v>1846</v>
      </c>
      <c r="T130" s="27"/>
      <c r="U130" s="81"/>
      <c r="V130" s="82"/>
      <c r="W130" s="81"/>
      <c r="X130" s="63"/>
      <c r="Y130" s="139"/>
      <c r="Z130" s="131"/>
      <c r="AA130" s="140"/>
    </row>
    <row r="131" spans="1:68" ht="20.25" customHeight="1">
      <c r="A131" s="359" t="s">
        <v>66</v>
      </c>
      <c r="D131" s="15" t="s">
        <v>745</v>
      </c>
      <c r="E131" s="124" t="s">
        <v>1898</v>
      </c>
      <c r="F131" s="321" t="s">
        <v>1918</v>
      </c>
      <c r="G131" s="625"/>
      <c r="H131" s="626"/>
      <c r="I131" s="624"/>
      <c r="J131" s="506" t="s">
        <v>1920</v>
      </c>
      <c r="K131" s="125" t="s">
        <v>1899</v>
      </c>
      <c r="L131" s="133" t="s">
        <v>1521</v>
      </c>
      <c r="M131" s="370">
        <v>8</v>
      </c>
      <c r="N131" s="171" t="s">
        <v>1657</v>
      </c>
      <c r="O131" s="235"/>
      <c r="P131" s="90">
        <f t="shared" si="6"/>
        <v>8</v>
      </c>
      <c r="Q131" s="332"/>
      <c r="R131" s="726"/>
      <c r="S131" s="288" t="s">
        <v>1901</v>
      </c>
      <c r="T131" s="27"/>
      <c r="U131" s="81"/>
      <c r="V131" s="82"/>
      <c r="W131" s="81"/>
      <c r="X131" s="60"/>
      <c r="Y131" s="60"/>
      <c r="Z131" s="83"/>
      <c r="AA131" s="62"/>
      <c r="AB131" s="142"/>
      <c r="AC131" s="117"/>
    </row>
    <row r="132" spans="1:68" s="168" customFormat="1" ht="21.75" customHeight="1">
      <c r="A132" s="359" t="s">
        <v>20</v>
      </c>
      <c r="B132" s="157"/>
      <c r="C132" s="158"/>
      <c r="D132" s="15" t="s">
        <v>745</v>
      </c>
      <c r="E132" s="124" t="s">
        <v>1017</v>
      </c>
      <c r="F132" s="320" t="s">
        <v>1973</v>
      </c>
      <c r="G132" s="625"/>
      <c r="H132" s="626"/>
      <c r="I132" s="624"/>
      <c r="J132" s="506" t="s">
        <v>363</v>
      </c>
      <c r="K132" s="125" t="s">
        <v>364</v>
      </c>
      <c r="L132" s="133" t="s">
        <v>77</v>
      </c>
      <c r="M132" s="714">
        <v>28</v>
      </c>
      <c r="N132" s="127" t="s">
        <v>17</v>
      </c>
      <c r="O132" s="235">
        <v>8</v>
      </c>
      <c r="P132" s="90">
        <f t="shared" si="6"/>
        <v>20</v>
      </c>
      <c r="Q132" s="283"/>
      <c r="R132" s="752" t="s">
        <v>2285</v>
      </c>
      <c r="S132" s="383" t="s">
        <v>168</v>
      </c>
      <c r="T132" s="159"/>
      <c r="U132" s="160"/>
      <c r="V132" s="512"/>
      <c r="W132" s="160"/>
      <c r="X132" s="163"/>
      <c r="Y132" s="163"/>
      <c r="Z132" s="164"/>
      <c r="AA132" s="165"/>
      <c r="AB132" s="166"/>
      <c r="AC132" s="167"/>
    </row>
    <row r="133" spans="1:68" s="53" customFormat="1" ht="20.25" customHeight="1">
      <c r="A133" s="359" t="s">
        <v>20</v>
      </c>
      <c r="C133" s="76" t="str">
        <f>K$2</f>
        <v>10/08/2019</v>
      </c>
      <c r="D133" s="15" t="s">
        <v>592</v>
      </c>
      <c r="E133" s="181" t="s">
        <v>434</v>
      </c>
      <c r="F133" s="320">
        <v>42564</v>
      </c>
      <c r="G133" s="625"/>
      <c r="H133" s="626"/>
      <c r="I133" s="624"/>
      <c r="J133" s="517" t="s">
        <v>435</v>
      </c>
      <c r="K133" s="133" t="s">
        <v>436</v>
      </c>
      <c r="L133" s="133" t="s">
        <v>298</v>
      </c>
      <c r="M133" s="370">
        <v>3</v>
      </c>
      <c r="N133" s="135" t="s">
        <v>17</v>
      </c>
      <c r="O133" s="235"/>
      <c r="P133" s="90">
        <f t="shared" ref="P133:P157" si="8">IF(O133="",M133,M133-O133)</f>
        <v>3</v>
      </c>
      <c r="Q133" s="328"/>
      <c r="R133" s="726"/>
      <c r="S133" s="276">
        <v>42710</v>
      </c>
      <c r="T133" s="72"/>
      <c r="U133" s="73"/>
      <c r="V133" s="74"/>
      <c r="W133" s="73"/>
      <c r="Y133" s="75"/>
      <c r="Z133" s="64">
        <v>6200</v>
      </c>
      <c r="AB133" s="142"/>
      <c r="AC133" s="117"/>
    </row>
    <row r="134" spans="1:68" ht="19.5" customHeight="1">
      <c r="A134" s="377" t="s">
        <v>66</v>
      </c>
      <c r="D134" s="15" t="s">
        <v>592</v>
      </c>
      <c r="E134" s="124" t="s">
        <v>1076</v>
      </c>
      <c r="F134" s="319">
        <v>43243</v>
      </c>
      <c r="G134" s="627"/>
      <c r="H134" s="627"/>
      <c r="I134" s="624"/>
      <c r="J134" s="718" t="s">
        <v>1319</v>
      </c>
      <c r="K134" s="125" t="s">
        <v>449</v>
      </c>
      <c r="L134" s="125" t="s">
        <v>1320</v>
      </c>
      <c r="M134" s="380">
        <v>10</v>
      </c>
      <c r="N134" s="236" t="s">
        <v>17</v>
      </c>
      <c r="O134" s="235"/>
      <c r="P134" s="90">
        <f t="shared" si="8"/>
        <v>10</v>
      </c>
      <c r="Q134" s="382"/>
      <c r="R134" s="726"/>
      <c r="S134" s="383" t="s">
        <v>168</v>
      </c>
      <c r="T134" s="27"/>
      <c r="U134" s="81"/>
      <c r="V134" s="82"/>
      <c r="W134" s="81"/>
      <c r="X134" s="63"/>
      <c r="Y134" s="139">
        <v>1</v>
      </c>
      <c r="Z134" s="131"/>
      <c r="AA134" s="140"/>
      <c r="AB134" s="141"/>
      <c r="AC134" s="141"/>
    </row>
    <row r="135" spans="1:68" ht="20.25" customHeight="1">
      <c r="A135" s="359" t="s">
        <v>20</v>
      </c>
      <c r="B135" s="186"/>
      <c r="C135" s="188"/>
      <c r="D135" s="15" t="s">
        <v>592</v>
      </c>
      <c r="E135" s="124" t="s">
        <v>1553</v>
      </c>
      <c r="F135" s="319">
        <v>43363</v>
      </c>
      <c r="G135" s="627"/>
      <c r="H135" s="627"/>
      <c r="I135" s="628"/>
      <c r="J135" s="718" t="s">
        <v>1554</v>
      </c>
      <c r="K135" s="125" t="s">
        <v>1555</v>
      </c>
      <c r="L135" s="125" t="s">
        <v>1556</v>
      </c>
      <c r="M135" s="380">
        <v>8</v>
      </c>
      <c r="N135" s="236" t="s">
        <v>17</v>
      </c>
      <c r="O135" s="235"/>
      <c r="P135" s="90">
        <f t="shared" si="8"/>
        <v>8</v>
      </c>
      <c r="Q135" s="382"/>
      <c r="R135" s="726"/>
      <c r="S135" s="553" t="s">
        <v>1558</v>
      </c>
      <c r="T135" s="27"/>
      <c r="U135" s="81"/>
      <c r="V135" s="82"/>
      <c r="W135" s="81"/>
      <c r="X135" s="63"/>
      <c r="Y135" s="139"/>
      <c r="Z135" s="131"/>
      <c r="AA135" s="140"/>
      <c r="AB135" s="141"/>
      <c r="AC135" s="141"/>
    </row>
    <row r="136" spans="1:68" ht="20.25" customHeight="1">
      <c r="A136" s="359" t="s">
        <v>28</v>
      </c>
      <c r="B136" s="186"/>
      <c r="C136" s="188"/>
      <c r="D136" s="15" t="s">
        <v>592</v>
      </c>
      <c r="E136" s="124" t="s">
        <v>1769</v>
      </c>
      <c r="F136" s="319">
        <v>42195</v>
      </c>
      <c r="G136" s="627"/>
      <c r="H136" s="631"/>
      <c r="I136" s="632"/>
      <c r="J136" s="720" t="s">
        <v>32</v>
      </c>
      <c r="K136" s="234" t="s">
        <v>128</v>
      </c>
      <c r="L136" s="234" t="s">
        <v>129</v>
      </c>
      <c r="M136" s="514">
        <v>2.7</v>
      </c>
      <c r="N136" s="236" t="s">
        <v>18</v>
      </c>
      <c r="O136" s="235"/>
      <c r="P136" s="90">
        <f t="shared" si="8"/>
        <v>2.7</v>
      </c>
      <c r="Q136" s="382" t="s">
        <v>1716</v>
      </c>
      <c r="R136" s="726"/>
      <c r="S136" s="276"/>
      <c r="T136" s="27"/>
      <c r="U136" s="81"/>
      <c r="V136" s="82"/>
      <c r="W136" s="81"/>
      <c r="X136" s="63"/>
      <c r="Y136" s="139"/>
      <c r="Z136" s="131"/>
      <c r="AA136" s="140"/>
      <c r="AB136" s="141"/>
      <c r="AC136" s="141"/>
    </row>
    <row r="137" spans="1:68" ht="19.5" customHeight="1">
      <c r="A137" s="359" t="s">
        <v>28</v>
      </c>
      <c r="B137" s="186"/>
      <c r="C137" s="188"/>
      <c r="D137" s="15" t="s">
        <v>592</v>
      </c>
      <c r="E137" s="124" t="s">
        <v>1822</v>
      </c>
      <c r="F137" s="319" t="s">
        <v>1821</v>
      </c>
      <c r="G137" s="627"/>
      <c r="H137" s="631"/>
      <c r="I137" s="632"/>
      <c r="J137" s="720" t="s">
        <v>1823</v>
      </c>
      <c r="K137" s="234" t="s">
        <v>1824</v>
      </c>
      <c r="L137" s="234" t="s">
        <v>86</v>
      </c>
      <c r="M137" s="514">
        <v>2</v>
      </c>
      <c r="N137" s="236" t="s">
        <v>18</v>
      </c>
      <c r="O137" s="235"/>
      <c r="P137" s="90">
        <f t="shared" si="8"/>
        <v>2</v>
      </c>
      <c r="Q137" s="382"/>
      <c r="R137" s="726"/>
      <c r="S137" s="553" t="s">
        <v>1558</v>
      </c>
      <c r="T137" s="27"/>
      <c r="U137" s="81"/>
      <c r="V137" s="738"/>
      <c r="W137" s="744"/>
      <c r="X137" s="63"/>
      <c r="Y137" s="139"/>
      <c r="Z137" s="131"/>
      <c r="AA137" s="140"/>
      <c r="AB137" s="141"/>
      <c r="AC137" s="141"/>
    </row>
    <row r="138" spans="1:68" s="141" customFormat="1" ht="20.25">
      <c r="A138" s="377" t="s">
        <v>66</v>
      </c>
      <c r="B138" s="186"/>
      <c r="C138" s="188"/>
      <c r="D138" s="15" t="s">
        <v>534</v>
      </c>
      <c r="E138" s="124" t="s">
        <v>2338</v>
      </c>
      <c r="F138" s="378" t="s">
        <v>2031</v>
      </c>
      <c r="G138" s="627"/>
      <c r="H138" s="631"/>
      <c r="I138" s="632" t="s">
        <v>2341</v>
      </c>
      <c r="J138" s="517" t="s">
        <v>2339</v>
      </c>
      <c r="K138" s="125" t="s">
        <v>994</v>
      </c>
      <c r="L138" s="125" t="s">
        <v>2340</v>
      </c>
      <c r="M138" s="514">
        <v>36</v>
      </c>
      <c r="N138" s="135" t="s">
        <v>17</v>
      </c>
      <c r="O138" s="235"/>
      <c r="P138" s="90">
        <f t="shared" si="8"/>
        <v>36</v>
      </c>
      <c r="Q138" s="382"/>
      <c r="R138" s="629"/>
      <c r="S138" s="383" t="s">
        <v>2034</v>
      </c>
      <c r="T138" s="27"/>
      <c r="U138" s="81"/>
      <c r="V138" s="82"/>
      <c r="W138" s="81"/>
      <c r="X138" s="63"/>
      <c r="Y138" s="139"/>
      <c r="Z138" s="131"/>
      <c r="AA138" s="140"/>
    </row>
    <row r="139" spans="1:68" s="141" customFormat="1" ht="20.25" customHeight="1">
      <c r="A139" s="377" t="s">
        <v>20</v>
      </c>
      <c r="B139" s="186"/>
      <c r="C139" s="188"/>
      <c r="D139" s="51" t="s">
        <v>534</v>
      </c>
      <c r="E139" s="536" t="s">
        <v>72</v>
      </c>
      <c r="F139" s="538" t="s">
        <v>1922</v>
      </c>
      <c r="G139" s="627"/>
      <c r="H139" s="631"/>
      <c r="I139" s="632" t="s">
        <v>2349</v>
      </c>
      <c r="J139" s="756" t="s">
        <v>2262</v>
      </c>
      <c r="K139" s="541" t="s">
        <v>13</v>
      </c>
      <c r="L139" s="541" t="s">
        <v>11</v>
      </c>
      <c r="M139" s="762">
        <v>15</v>
      </c>
      <c r="N139" s="763" t="s">
        <v>17</v>
      </c>
      <c r="O139" s="537">
        <v>15</v>
      </c>
      <c r="P139" s="603">
        <f t="shared" si="8"/>
        <v>0</v>
      </c>
      <c r="Q139" s="382"/>
      <c r="R139" s="726" t="s">
        <v>2291</v>
      </c>
      <c r="S139" s="383" t="s">
        <v>1846</v>
      </c>
      <c r="T139" s="27"/>
      <c r="U139" s="81"/>
      <c r="V139" s="82"/>
      <c r="W139" s="81"/>
      <c r="X139" s="63"/>
      <c r="Y139" s="139"/>
      <c r="Z139" s="131"/>
      <c r="AA139" s="140"/>
    </row>
    <row r="140" spans="1:68" s="168" customFormat="1" ht="18.75" customHeight="1">
      <c r="A140" s="359" t="s">
        <v>71</v>
      </c>
      <c r="B140" s="157"/>
      <c r="C140" s="158"/>
      <c r="D140" s="15" t="s">
        <v>2164</v>
      </c>
      <c r="E140" s="124" t="s">
        <v>169</v>
      </c>
      <c r="F140" s="320" t="s">
        <v>2056</v>
      </c>
      <c r="G140" s="625"/>
      <c r="H140" s="626"/>
      <c r="I140" s="624"/>
      <c r="J140" s="506" t="s">
        <v>2070</v>
      </c>
      <c r="K140" s="125" t="s">
        <v>1406</v>
      </c>
      <c r="L140" s="133" t="s">
        <v>7</v>
      </c>
      <c r="M140" s="370">
        <v>54</v>
      </c>
      <c r="N140" s="127" t="s">
        <v>1657</v>
      </c>
      <c r="O140" s="235"/>
      <c r="P140" s="90">
        <f t="shared" si="8"/>
        <v>54</v>
      </c>
      <c r="Q140" s="526" t="s">
        <v>2065</v>
      </c>
      <c r="R140" s="726"/>
      <c r="S140" s="277" t="s">
        <v>2066</v>
      </c>
      <c r="T140" s="159"/>
      <c r="U140" s="160"/>
      <c r="V140" s="161"/>
      <c r="W140" s="162"/>
      <c r="X140" s="163"/>
      <c r="Y140" s="163"/>
      <c r="Z140" s="164"/>
      <c r="AA140" s="165"/>
      <c r="AB140" s="166"/>
      <c r="AC140" s="167"/>
    </row>
    <row r="141" spans="1:68" s="648" customFormat="1" ht="21.75" customHeight="1">
      <c r="A141" s="359" t="s">
        <v>66</v>
      </c>
      <c r="C141" s="677"/>
      <c r="D141" s="15" t="s">
        <v>458</v>
      </c>
      <c r="E141" s="678" t="s">
        <v>655</v>
      </c>
      <c r="F141" s="639">
        <v>43560</v>
      </c>
      <c r="G141" s="627"/>
      <c r="H141" s="627"/>
      <c r="I141" s="628"/>
      <c r="J141" s="730" t="s">
        <v>737</v>
      </c>
      <c r="K141" s="731" t="s">
        <v>738</v>
      </c>
      <c r="L141" s="679" t="s">
        <v>739</v>
      </c>
      <c r="M141" s="651">
        <v>28</v>
      </c>
      <c r="N141" s="652" t="s">
        <v>17</v>
      </c>
      <c r="O141" s="663"/>
      <c r="P141" s="381">
        <f t="shared" si="8"/>
        <v>28</v>
      </c>
      <c r="Q141" s="604"/>
      <c r="R141" s="726"/>
      <c r="S141" s="383" t="s">
        <v>1817</v>
      </c>
      <c r="T141" s="653"/>
      <c r="U141" s="654"/>
      <c r="V141" s="655"/>
      <c r="W141" s="654"/>
      <c r="X141" s="656"/>
      <c r="Y141" s="656"/>
      <c r="Z141" s="680"/>
      <c r="AA141" s="681"/>
      <c r="AB141" s="682"/>
      <c r="AC141" s="682"/>
      <c r="AD141" s="682"/>
      <c r="AE141" s="682"/>
      <c r="AF141" s="682"/>
      <c r="AG141" s="682"/>
      <c r="AH141" s="682"/>
      <c r="AI141" s="682"/>
      <c r="AJ141" s="682"/>
      <c r="AK141" s="682"/>
      <c r="AL141" s="682"/>
      <c r="AM141" s="682"/>
      <c r="AN141" s="682"/>
      <c r="AO141" s="682"/>
      <c r="AP141" s="682"/>
      <c r="AQ141" s="682"/>
      <c r="AR141" s="682"/>
      <c r="AS141" s="682"/>
      <c r="AT141" s="682"/>
      <c r="AU141" s="682"/>
      <c r="AV141" s="682"/>
      <c r="AW141" s="682"/>
      <c r="AX141" s="682"/>
      <c r="AY141" s="682"/>
      <c r="AZ141" s="682"/>
      <c r="BA141" s="682"/>
      <c r="BB141" s="682"/>
      <c r="BC141" s="682"/>
      <c r="BD141" s="682"/>
      <c r="BE141" s="682"/>
      <c r="BF141" s="682"/>
      <c r="BG141" s="682"/>
      <c r="BH141" s="682"/>
      <c r="BI141" s="682"/>
      <c r="BJ141" s="682"/>
      <c r="BK141" s="682"/>
      <c r="BL141" s="682"/>
      <c r="BM141" s="682"/>
      <c r="BN141" s="682"/>
      <c r="BO141" s="682"/>
      <c r="BP141" s="682"/>
    </row>
    <row r="142" spans="1:68" s="81" customFormat="1" ht="21" customHeight="1">
      <c r="A142" s="359" t="s">
        <v>28</v>
      </c>
      <c r="B142" s="53"/>
      <c r="C142" s="84"/>
      <c r="D142" s="123" t="s">
        <v>1610</v>
      </c>
      <c r="E142" s="233" t="s">
        <v>2126</v>
      </c>
      <c r="F142" s="319" t="s">
        <v>1847</v>
      </c>
      <c r="G142" s="627"/>
      <c r="H142" s="627"/>
      <c r="I142" s="628"/>
      <c r="J142" s="718" t="s">
        <v>1853</v>
      </c>
      <c r="K142" s="234" t="s">
        <v>417</v>
      </c>
      <c r="L142" s="234" t="s">
        <v>362</v>
      </c>
      <c r="M142" s="380">
        <v>27</v>
      </c>
      <c r="N142" s="127" t="s">
        <v>17</v>
      </c>
      <c r="O142" s="126"/>
      <c r="P142" s="90">
        <f t="shared" si="8"/>
        <v>27</v>
      </c>
      <c r="Q142" s="604"/>
      <c r="R142" s="726"/>
      <c r="S142" s="288"/>
      <c r="T142" s="565"/>
      <c r="V142" s="738"/>
      <c r="X142" s="60"/>
      <c r="Y142" s="60"/>
      <c r="Z142" s="61"/>
      <c r="AA142" s="62"/>
    </row>
    <row r="143" spans="1:68" s="168" customFormat="1" ht="21.75" customHeight="1">
      <c r="A143" s="359" t="s">
        <v>20</v>
      </c>
      <c r="B143" s="157"/>
      <c r="C143" s="158"/>
      <c r="D143" s="169" t="s">
        <v>652</v>
      </c>
      <c r="E143" s="124" t="s">
        <v>54</v>
      </c>
      <c r="F143" s="320" t="s">
        <v>1902</v>
      </c>
      <c r="G143" s="625"/>
      <c r="H143" s="626"/>
      <c r="I143" s="624"/>
      <c r="J143" s="506" t="s">
        <v>55</v>
      </c>
      <c r="K143" s="125" t="s">
        <v>56</v>
      </c>
      <c r="L143" s="133" t="s">
        <v>57</v>
      </c>
      <c r="M143" s="714">
        <v>38</v>
      </c>
      <c r="N143" s="127" t="s">
        <v>1714</v>
      </c>
      <c r="O143" s="235">
        <v>3</v>
      </c>
      <c r="P143" s="90">
        <f t="shared" si="8"/>
        <v>35</v>
      </c>
      <c r="Q143" s="283"/>
      <c r="R143" s="752" t="s">
        <v>2311</v>
      </c>
      <c r="S143" s="383" t="s">
        <v>2026</v>
      </c>
      <c r="T143" s="159"/>
      <c r="U143" s="160"/>
      <c r="V143" s="512"/>
      <c r="W143" s="160"/>
      <c r="X143" s="163"/>
      <c r="Y143" s="163"/>
      <c r="Z143" s="164"/>
      <c r="AA143" s="165"/>
      <c r="AB143" s="166"/>
      <c r="AC143" s="167"/>
    </row>
    <row r="144" spans="1:68" ht="20.25" customHeight="1">
      <c r="A144" s="359" t="s">
        <v>20</v>
      </c>
      <c r="D144" s="169" t="s">
        <v>830</v>
      </c>
      <c r="E144" s="124"/>
      <c r="F144" s="321"/>
      <c r="G144" s="625"/>
      <c r="H144" s="626"/>
      <c r="I144" s="624"/>
      <c r="J144" s="506" t="s">
        <v>1611</v>
      </c>
      <c r="K144" s="125" t="s">
        <v>817</v>
      </c>
      <c r="L144" s="133" t="s">
        <v>1212</v>
      </c>
      <c r="M144" s="370">
        <v>1</v>
      </c>
      <c r="N144" s="171" t="s">
        <v>268</v>
      </c>
      <c r="O144" s="235"/>
      <c r="P144" s="90">
        <f t="shared" si="8"/>
        <v>1</v>
      </c>
      <c r="Q144" s="332" t="s">
        <v>1940</v>
      </c>
      <c r="R144" s="726"/>
      <c r="S144" s="288" t="s">
        <v>168</v>
      </c>
      <c r="T144" s="27"/>
      <c r="U144" s="81"/>
      <c r="V144" s="82"/>
      <c r="W144" s="81"/>
      <c r="X144" s="60"/>
      <c r="Y144" s="60"/>
      <c r="Z144" s="83"/>
      <c r="AA144" s="62"/>
      <c r="AB144" s="142"/>
      <c r="AC144" s="117"/>
    </row>
    <row r="145" spans="1:29" s="45" customFormat="1" ht="20.25" customHeight="1">
      <c r="A145" s="359" t="s">
        <v>20</v>
      </c>
      <c r="B145" s="58"/>
      <c r="C145" s="76" t="str">
        <f>K$2</f>
        <v>10/08/2019</v>
      </c>
      <c r="D145" s="261" t="s">
        <v>459</v>
      </c>
      <c r="E145" s="262"/>
      <c r="F145" s="322"/>
      <c r="G145" s="627"/>
      <c r="H145" s="631"/>
      <c r="I145" s="624"/>
      <c r="J145" s="516" t="s">
        <v>1211</v>
      </c>
      <c r="K145" s="258" t="s">
        <v>546</v>
      </c>
      <c r="L145" s="354" t="s">
        <v>1212</v>
      </c>
      <c r="M145" s="371">
        <v>1</v>
      </c>
      <c r="N145" s="263" t="s">
        <v>268</v>
      </c>
      <c r="O145" s="235"/>
      <c r="P145" s="90">
        <f t="shared" si="8"/>
        <v>1</v>
      </c>
      <c r="Q145" s="329"/>
      <c r="R145" s="726"/>
      <c r="S145" s="337" t="s">
        <v>168</v>
      </c>
      <c r="T145" s="54"/>
      <c r="U145" s="73"/>
      <c r="V145" s="702"/>
      <c r="W145" s="703"/>
      <c r="X145" s="66"/>
      <c r="Y145" s="66"/>
      <c r="Z145" s="67"/>
      <c r="AA145" s="68"/>
      <c r="AB145" s="142"/>
      <c r="AC145" s="117"/>
    </row>
    <row r="146" spans="1:29" s="141" customFormat="1" ht="20.25" customHeight="1">
      <c r="A146" s="377" t="s">
        <v>28</v>
      </c>
      <c r="B146" s="186"/>
      <c r="C146" s="188"/>
      <c r="D146" s="123" t="s">
        <v>1133</v>
      </c>
      <c r="E146" s="124" t="s">
        <v>2172</v>
      </c>
      <c r="F146" s="378">
        <v>43685</v>
      </c>
      <c r="G146" s="627"/>
      <c r="H146" s="631"/>
      <c r="I146" s="632"/>
      <c r="J146" s="517" t="s">
        <v>2171</v>
      </c>
      <c r="K146" s="125" t="s">
        <v>256</v>
      </c>
      <c r="L146" s="125" t="s">
        <v>83</v>
      </c>
      <c r="M146" s="710">
        <v>48</v>
      </c>
      <c r="N146" s="135" t="s">
        <v>17</v>
      </c>
      <c r="O146" s="235"/>
      <c r="P146" s="90">
        <f t="shared" ref="P146:P147" si="9">IF(O146="",M146,M146-O146)</f>
        <v>48</v>
      </c>
      <c r="Q146" s="382" t="s">
        <v>2270</v>
      </c>
      <c r="R146" s="726"/>
      <c r="S146" s="383">
        <v>44012</v>
      </c>
      <c r="T146" s="27"/>
      <c r="U146" s="81"/>
      <c r="V146" s="82"/>
      <c r="W146" s="81"/>
      <c r="X146" s="63"/>
      <c r="Y146" s="139"/>
      <c r="Z146" s="131"/>
      <c r="AA146" s="140"/>
    </row>
    <row r="147" spans="1:29" s="141" customFormat="1" ht="20.25" customHeight="1">
      <c r="A147" s="377" t="s">
        <v>218</v>
      </c>
      <c r="B147" s="186"/>
      <c r="C147" s="188"/>
      <c r="D147" s="123" t="s">
        <v>954</v>
      </c>
      <c r="E147" s="124" t="s">
        <v>1607</v>
      </c>
      <c r="F147" s="378">
        <v>43665</v>
      </c>
      <c r="G147" s="627"/>
      <c r="H147" s="631"/>
      <c r="I147" s="632" t="s">
        <v>2346</v>
      </c>
      <c r="J147" s="517" t="s">
        <v>2345</v>
      </c>
      <c r="K147" s="125" t="s">
        <v>1018</v>
      </c>
      <c r="L147" s="125" t="s">
        <v>86</v>
      </c>
      <c r="M147" s="514">
        <v>52</v>
      </c>
      <c r="N147" s="135" t="s">
        <v>17</v>
      </c>
      <c r="O147" s="235"/>
      <c r="P147" s="90">
        <f t="shared" si="9"/>
        <v>52</v>
      </c>
      <c r="Q147" s="382"/>
      <c r="R147" s="629"/>
      <c r="S147" s="383">
        <v>44012</v>
      </c>
      <c r="T147" s="27"/>
      <c r="U147" s="81"/>
      <c r="V147" s="82"/>
      <c r="W147" s="81"/>
      <c r="X147" s="63"/>
      <c r="Y147" s="139"/>
      <c r="Z147" s="131"/>
      <c r="AA147" s="140"/>
    </row>
    <row r="148" spans="1:29" s="168" customFormat="1" ht="18.75" customHeight="1">
      <c r="A148" s="359" t="s">
        <v>71</v>
      </c>
      <c r="B148" s="157"/>
      <c r="C148" s="158"/>
      <c r="D148" s="123" t="s">
        <v>954</v>
      </c>
      <c r="E148" s="124" t="s">
        <v>169</v>
      </c>
      <c r="F148" s="320" t="s">
        <v>2056</v>
      </c>
      <c r="G148" s="625"/>
      <c r="H148" s="626"/>
      <c r="I148" s="624"/>
      <c r="J148" s="506" t="s">
        <v>2072</v>
      </c>
      <c r="K148" s="125" t="s">
        <v>1406</v>
      </c>
      <c r="L148" s="133" t="s">
        <v>7</v>
      </c>
      <c r="M148" s="370">
        <v>2</v>
      </c>
      <c r="N148" s="127" t="s">
        <v>1657</v>
      </c>
      <c r="O148" s="235"/>
      <c r="P148" s="90">
        <f t="shared" si="8"/>
        <v>2</v>
      </c>
      <c r="Q148" s="526" t="s">
        <v>2073</v>
      </c>
      <c r="R148" s="726"/>
      <c r="S148" s="277" t="s">
        <v>2066</v>
      </c>
      <c r="T148" s="159"/>
      <c r="U148" s="160"/>
      <c r="V148" s="161"/>
      <c r="W148" s="162"/>
      <c r="X148" s="163"/>
      <c r="Y148" s="163"/>
      <c r="Z148" s="164"/>
      <c r="AA148" s="165"/>
      <c r="AB148" s="166"/>
      <c r="AC148" s="167"/>
    </row>
    <row r="149" spans="1:29" s="168" customFormat="1" ht="21.75" customHeight="1">
      <c r="A149" s="359" t="s">
        <v>20</v>
      </c>
      <c r="B149" s="157"/>
      <c r="C149" s="158"/>
      <c r="D149" s="123" t="s">
        <v>507</v>
      </c>
      <c r="E149" s="124" t="s">
        <v>1273</v>
      </c>
      <c r="F149" s="320">
        <v>43676</v>
      </c>
      <c r="G149" s="625"/>
      <c r="H149" s="626"/>
      <c r="I149" s="624"/>
      <c r="J149" s="506" t="s">
        <v>2203</v>
      </c>
      <c r="K149" s="125" t="s">
        <v>2204</v>
      </c>
      <c r="L149" s="133" t="s">
        <v>6</v>
      </c>
      <c r="M149" s="370">
        <v>36</v>
      </c>
      <c r="N149" s="127" t="s">
        <v>17</v>
      </c>
      <c r="O149" s="235"/>
      <c r="P149" s="90">
        <f t="shared" si="8"/>
        <v>36</v>
      </c>
      <c r="Q149" s="283"/>
      <c r="R149" s="726"/>
      <c r="S149" s="383">
        <v>44350</v>
      </c>
      <c r="T149" s="159"/>
      <c r="U149" s="160"/>
      <c r="V149" s="512"/>
      <c r="W149" s="160"/>
      <c r="X149" s="163"/>
      <c r="Y149" s="163"/>
      <c r="Z149" s="164"/>
      <c r="AA149" s="165"/>
      <c r="AB149" s="166"/>
      <c r="AC149" s="167"/>
    </row>
    <row r="150" spans="1:29" ht="18" customHeight="1">
      <c r="A150" s="359" t="s">
        <v>28</v>
      </c>
      <c r="D150" s="123" t="s">
        <v>537</v>
      </c>
      <c r="E150" s="124" t="s">
        <v>406</v>
      </c>
      <c r="F150" s="321" t="s">
        <v>1715</v>
      </c>
      <c r="G150" s="625"/>
      <c r="H150" s="626"/>
      <c r="I150" s="624"/>
      <c r="J150" s="515" t="s">
        <v>104</v>
      </c>
      <c r="K150" s="285" t="s">
        <v>67</v>
      </c>
      <c r="L150" s="290" t="s">
        <v>1404</v>
      </c>
      <c r="M150" s="370">
        <v>3</v>
      </c>
      <c r="N150" s="150" t="s">
        <v>17</v>
      </c>
      <c r="O150" s="235">
        <v>1</v>
      </c>
      <c r="P150" s="90">
        <f t="shared" si="8"/>
        <v>2</v>
      </c>
      <c r="Q150" s="283"/>
      <c r="R150" s="752" t="s">
        <v>777</v>
      </c>
      <c r="S150" s="288" t="s">
        <v>168</v>
      </c>
      <c r="T150" s="72"/>
      <c r="U150" s="81"/>
      <c r="V150" s="82"/>
      <c r="W150" s="81"/>
      <c r="X150" s="60"/>
      <c r="Y150" s="60"/>
      <c r="Z150" s="83"/>
      <c r="AA150" s="62"/>
      <c r="AB150" s="115"/>
      <c r="AC150" s="117"/>
    </row>
    <row r="151" spans="1:29" s="141" customFormat="1" ht="20.25" customHeight="1">
      <c r="A151" s="377" t="s">
        <v>66</v>
      </c>
      <c r="C151" s="176" t="str">
        <f>K$2</f>
        <v>10/08/2019</v>
      </c>
      <c r="D151" s="123" t="s">
        <v>537</v>
      </c>
      <c r="E151" s="233" t="s">
        <v>446</v>
      </c>
      <c r="F151" s="319"/>
      <c r="G151" s="629"/>
      <c r="H151" s="629"/>
      <c r="I151" s="624"/>
      <c r="J151" s="509" t="s">
        <v>1041</v>
      </c>
      <c r="K151" s="255" t="s">
        <v>996</v>
      </c>
      <c r="L151" s="3" t="s">
        <v>1179</v>
      </c>
      <c r="M151" s="369">
        <v>1</v>
      </c>
      <c r="N151" s="236" t="s">
        <v>17</v>
      </c>
      <c r="O151" s="235"/>
      <c r="P151" s="90">
        <f t="shared" si="8"/>
        <v>1</v>
      </c>
      <c r="Q151" s="555" t="s">
        <v>1471</v>
      </c>
      <c r="R151" s="726"/>
      <c r="S151" s="276">
        <v>43152</v>
      </c>
      <c r="T151"/>
      <c r="U151"/>
      <c r="V151" s="737"/>
      <c r="W151" s="737"/>
      <c r="X151" s="256"/>
      <c r="Y151" s="63">
        <f>1504/40</f>
        <v>37.6</v>
      </c>
      <c r="Z151" s="257"/>
      <c r="AA151" s="65"/>
      <c r="AB151"/>
      <c r="AC151"/>
    </row>
    <row r="152" spans="1:29" s="141" customFormat="1" ht="20.25" customHeight="1">
      <c r="A152" s="377" t="s">
        <v>66</v>
      </c>
      <c r="C152" s="176" t="str">
        <f>K$2</f>
        <v>10/08/2019</v>
      </c>
      <c r="D152" s="123" t="s">
        <v>537</v>
      </c>
      <c r="E152" s="233" t="s">
        <v>446</v>
      </c>
      <c r="F152" s="319"/>
      <c r="G152" s="629"/>
      <c r="H152" s="629"/>
      <c r="I152" s="624"/>
      <c r="J152" s="509" t="s">
        <v>1041</v>
      </c>
      <c r="K152" s="255" t="s">
        <v>996</v>
      </c>
      <c r="L152" s="3" t="s">
        <v>1179</v>
      </c>
      <c r="M152" s="369">
        <v>3</v>
      </c>
      <c r="N152" s="236" t="s">
        <v>17</v>
      </c>
      <c r="O152" s="235"/>
      <c r="P152" s="90">
        <f t="shared" si="8"/>
        <v>3</v>
      </c>
      <c r="Q152" s="555" t="s">
        <v>1471</v>
      </c>
      <c r="R152" s="726"/>
      <c r="S152" s="276">
        <v>43205</v>
      </c>
      <c r="T152"/>
      <c r="U152"/>
      <c r="V152" s="737"/>
      <c r="W152" s="737"/>
      <c r="X152" s="256"/>
      <c r="Y152" s="63">
        <f>1504/40</f>
        <v>37.6</v>
      </c>
      <c r="Z152" s="257"/>
      <c r="AA152" s="65"/>
      <c r="AB152"/>
      <c r="AC152"/>
    </row>
    <row r="153" spans="1:29" s="141" customFormat="1" ht="20.25" customHeight="1">
      <c r="A153" s="377" t="s">
        <v>66</v>
      </c>
      <c r="C153" s="176" t="str">
        <f>K$2</f>
        <v>10/08/2019</v>
      </c>
      <c r="D153" s="123" t="s">
        <v>537</v>
      </c>
      <c r="E153" s="233" t="s">
        <v>446</v>
      </c>
      <c r="F153" s="319"/>
      <c r="G153" s="629"/>
      <c r="H153" s="629"/>
      <c r="I153" s="624"/>
      <c r="J153" s="509" t="s">
        <v>1041</v>
      </c>
      <c r="K153" s="255" t="s">
        <v>996</v>
      </c>
      <c r="L153" s="3" t="s">
        <v>1179</v>
      </c>
      <c r="M153" s="369">
        <v>1</v>
      </c>
      <c r="N153" s="236" t="s">
        <v>17</v>
      </c>
      <c r="O153" s="235"/>
      <c r="P153" s="90">
        <f t="shared" si="8"/>
        <v>1</v>
      </c>
      <c r="Q153" s="555" t="s">
        <v>1471</v>
      </c>
      <c r="R153" s="726"/>
      <c r="S153" s="276">
        <v>43221</v>
      </c>
      <c r="T153"/>
      <c r="U153"/>
      <c r="V153"/>
      <c r="W153"/>
      <c r="X153" s="256"/>
      <c r="Y153" s="63">
        <f>1504/40</f>
        <v>37.6</v>
      </c>
      <c r="Z153" s="257"/>
      <c r="AA153" s="65"/>
      <c r="AB153"/>
      <c r="AC153"/>
    </row>
    <row r="154" spans="1:29" s="168" customFormat="1" ht="20.25">
      <c r="A154" s="359" t="s">
        <v>20</v>
      </c>
      <c r="B154" s="157"/>
      <c r="C154" s="158"/>
      <c r="D154" s="123" t="s">
        <v>537</v>
      </c>
      <c r="E154" s="124" t="s">
        <v>1512</v>
      </c>
      <c r="F154" s="320" t="s">
        <v>1722</v>
      </c>
      <c r="G154" s="625"/>
      <c r="H154" s="626"/>
      <c r="I154" s="624"/>
      <c r="J154" s="506" t="s">
        <v>1725</v>
      </c>
      <c r="K154" s="125" t="s">
        <v>627</v>
      </c>
      <c r="L154" s="133" t="s">
        <v>1514</v>
      </c>
      <c r="M154" s="370">
        <v>6</v>
      </c>
      <c r="N154" s="127" t="s">
        <v>17</v>
      </c>
      <c r="O154" s="235"/>
      <c r="P154" s="90">
        <f t="shared" si="8"/>
        <v>6</v>
      </c>
      <c r="Q154" s="283"/>
      <c r="R154" s="726"/>
      <c r="S154" s="383" t="s">
        <v>168</v>
      </c>
      <c r="T154" s="159"/>
      <c r="U154" s="160"/>
      <c r="V154" s="664"/>
      <c r="W154" s="665"/>
      <c r="X154" s="163"/>
      <c r="Y154" s="163"/>
      <c r="Z154" s="164"/>
      <c r="AA154" s="165"/>
      <c r="AB154" s="166"/>
      <c r="AC154" s="167"/>
    </row>
    <row r="155" spans="1:29" ht="21.75" customHeight="1">
      <c r="A155" s="377" t="s">
        <v>28</v>
      </c>
      <c r="B155" s="186"/>
      <c r="C155" s="188"/>
      <c r="D155" s="249" t="s">
        <v>503</v>
      </c>
      <c r="E155" s="124" t="s">
        <v>1567</v>
      </c>
      <c r="F155" s="378">
        <v>43678</v>
      </c>
      <c r="G155" s="627"/>
      <c r="H155" s="627"/>
      <c r="I155" s="628"/>
      <c r="J155" s="508" t="s">
        <v>1565</v>
      </c>
      <c r="K155" s="379" t="s">
        <v>1566</v>
      </c>
      <c r="L155" s="125" t="s">
        <v>7</v>
      </c>
      <c r="M155" s="380">
        <v>29</v>
      </c>
      <c r="N155" s="236" t="s">
        <v>17</v>
      </c>
      <c r="O155" s="235">
        <v>15</v>
      </c>
      <c r="P155" s="90">
        <f t="shared" si="8"/>
        <v>14</v>
      </c>
      <c r="Q155" s="382"/>
      <c r="R155" s="726" t="s">
        <v>2312</v>
      </c>
      <c r="S155" s="383">
        <v>43888</v>
      </c>
      <c r="T155" s="27"/>
      <c r="U155" s="81"/>
      <c r="V155" s="82"/>
      <c r="W155" s="81"/>
      <c r="X155" s="63"/>
      <c r="Y155" s="139"/>
      <c r="Z155" s="131"/>
      <c r="AA155" s="140"/>
      <c r="AB155" s="141"/>
      <c r="AC155" s="141"/>
    </row>
    <row r="156" spans="1:29" s="168" customFormat="1" ht="18.75" customHeight="1">
      <c r="A156" s="359" t="s">
        <v>71</v>
      </c>
      <c r="B156" s="157"/>
      <c r="C156" s="158"/>
      <c r="D156" s="169" t="s">
        <v>715</v>
      </c>
      <c r="E156" s="124" t="s">
        <v>1644</v>
      </c>
      <c r="F156" s="320">
        <v>43468</v>
      </c>
      <c r="G156" s="625"/>
      <c r="H156" s="626"/>
      <c r="I156" s="624"/>
      <c r="J156" s="506" t="s">
        <v>1648</v>
      </c>
      <c r="K156" s="125" t="s">
        <v>1652</v>
      </c>
      <c r="L156" s="133" t="s">
        <v>1661</v>
      </c>
      <c r="M156" s="370">
        <v>18</v>
      </c>
      <c r="N156" s="127" t="s">
        <v>1660</v>
      </c>
      <c r="O156" s="235"/>
      <c r="P156" s="90">
        <f t="shared" si="8"/>
        <v>18</v>
      </c>
      <c r="Q156" s="526"/>
      <c r="R156" s="726"/>
      <c r="S156" s="383" t="s">
        <v>168</v>
      </c>
      <c r="T156" s="159"/>
      <c r="U156" s="160"/>
      <c r="V156" s="512"/>
      <c r="W156" s="160"/>
      <c r="X156" s="163"/>
      <c r="Y156" s="163"/>
      <c r="Z156" s="164"/>
      <c r="AA156" s="165"/>
      <c r="AB156" s="166"/>
      <c r="AC156" s="167"/>
    </row>
    <row r="157" spans="1:29" s="168" customFormat="1" ht="18.75" customHeight="1">
      <c r="A157" s="359" t="s">
        <v>71</v>
      </c>
      <c r="B157" s="157"/>
      <c r="C157" s="158"/>
      <c r="D157" s="169" t="s">
        <v>456</v>
      </c>
      <c r="E157" s="124"/>
      <c r="F157" s="320"/>
      <c r="G157" s="625"/>
      <c r="H157" s="626"/>
      <c r="I157" s="624"/>
      <c r="J157" s="506" t="s">
        <v>2161</v>
      </c>
      <c r="K157" s="125"/>
      <c r="L157" s="133"/>
      <c r="M157" s="714">
        <v>1</v>
      </c>
      <c r="N157" s="127" t="s">
        <v>17</v>
      </c>
      <c r="O157" s="235"/>
      <c r="P157" s="90">
        <f t="shared" si="8"/>
        <v>1</v>
      </c>
      <c r="Q157" s="526" t="s">
        <v>2162</v>
      </c>
      <c r="R157" s="726"/>
      <c r="S157" s="383"/>
      <c r="T157" s="159"/>
      <c r="U157" s="160"/>
      <c r="V157" s="512"/>
      <c r="W157" s="160"/>
      <c r="X157" s="163"/>
      <c r="Y157" s="163"/>
      <c r="Z157" s="164"/>
      <c r="AA157" s="165"/>
      <c r="AB157" s="166"/>
      <c r="AC157" s="167"/>
    </row>
    <row r="158" spans="1:29" ht="20.25" customHeight="1">
      <c r="A158" s="359" t="s">
        <v>66</v>
      </c>
      <c r="B158" s="186"/>
      <c r="C158" s="188"/>
      <c r="D158" s="51" t="s">
        <v>456</v>
      </c>
      <c r="E158" s="536" t="s">
        <v>655</v>
      </c>
      <c r="F158" s="757">
        <v>43077</v>
      </c>
      <c r="G158" s="627"/>
      <c r="H158" s="631"/>
      <c r="I158" s="624"/>
      <c r="J158" s="761" t="s">
        <v>945</v>
      </c>
      <c r="K158" s="541" t="s">
        <v>946</v>
      </c>
      <c r="L158" s="541" t="s">
        <v>739</v>
      </c>
      <c r="M158" s="762">
        <v>0.83</v>
      </c>
      <c r="N158" s="547" t="s">
        <v>17</v>
      </c>
      <c r="O158" s="537">
        <v>0.83</v>
      </c>
      <c r="P158" s="603">
        <f t="shared" ref="P158:P162" si="10">IF(O158="",M158,M158-O158)</f>
        <v>0</v>
      </c>
      <c r="Q158" s="283" t="s">
        <v>2159</v>
      </c>
      <c r="R158" s="752" t="s">
        <v>2318</v>
      </c>
      <c r="S158" s="383">
        <v>43376</v>
      </c>
      <c r="T158" s="27"/>
      <c r="U158" s="81"/>
      <c r="V158" s="82"/>
      <c r="W158" s="81"/>
      <c r="X158" s="63"/>
      <c r="Y158" s="139"/>
      <c r="Z158" s="131"/>
      <c r="AA158" s="140">
        <v>850</v>
      </c>
      <c r="AB158" s="141"/>
      <c r="AC158" s="141"/>
    </row>
    <row r="159" spans="1:29" s="168" customFormat="1" ht="20.25">
      <c r="A159" s="359" t="s">
        <v>66</v>
      </c>
      <c r="B159" s="157"/>
      <c r="C159" s="158"/>
      <c r="D159" s="169" t="s">
        <v>456</v>
      </c>
      <c r="E159" s="124" t="s">
        <v>2081</v>
      </c>
      <c r="F159" s="320" t="s">
        <v>2079</v>
      </c>
      <c r="G159" s="625"/>
      <c r="H159" s="626"/>
      <c r="I159" s="624"/>
      <c r="J159" s="506" t="s">
        <v>2082</v>
      </c>
      <c r="K159" s="125" t="s">
        <v>2083</v>
      </c>
      <c r="L159" s="133" t="s">
        <v>2084</v>
      </c>
      <c r="M159" s="714">
        <v>1</v>
      </c>
      <c r="N159" s="171" t="s">
        <v>17</v>
      </c>
      <c r="O159" s="235"/>
      <c r="P159" s="90">
        <f t="shared" si="10"/>
        <v>1</v>
      </c>
      <c r="Q159" s="526" t="s">
        <v>2080</v>
      </c>
      <c r="R159" s="726"/>
      <c r="S159" s="277" t="s">
        <v>168</v>
      </c>
      <c r="T159" s="159"/>
      <c r="U159" s="160"/>
      <c r="V159" s="512"/>
      <c r="W159" s="160"/>
      <c r="X159" s="163"/>
      <c r="Y159" s="163"/>
      <c r="Z159" s="164"/>
      <c r="AA159" s="165"/>
      <c r="AB159" s="166"/>
      <c r="AC159" s="167"/>
    </row>
    <row r="160" spans="1:29" s="168" customFormat="1" ht="20.25">
      <c r="A160" s="359" t="s">
        <v>66</v>
      </c>
      <c r="B160" s="157"/>
      <c r="C160" s="158"/>
      <c r="D160" s="169" t="s">
        <v>456</v>
      </c>
      <c r="E160" s="124" t="s">
        <v>2158</v>
      </c>
      <c r="F160" s="320">
        <v>43560</v>
      </c>
      <c r="G160" s="625"/>
      <c r="H160" s="626"/>
      <c r="I160" s="624"/>
      <c r="J160" s="506" t="s">
        <v>2055</v>
      </c>
      <c r="K160" s="125" t="s">
        <v>1362</v>
      </c>
      <c r="L160" s="133" t="s">
        <v>743</v>
      </c>
      <c r="M160" s="714">
        <v>1</v>
      </c>
      <c r="N160" s="171" t="s">
        <v>17</v>
      </c>
      <c r="O160" s="235"/>
      <c r="P160" s="90">
        <f t="shared" si="10"/>
        <v>1</v>
      </c>
      <c r="Q160" s="526"/>
      <c r="R160" s="726"/>
      <c r="S160" s="277" t="s">
        <v>1818</v>
      </c>
      <c r="T160" s="159"/>
      <c r="U160" s="160"/>
      <c r="V160" s="512"/>
      <c r="W160" s="160"/>
      <c r="X160" s="163"/>
      <c r="Y160" s="163"/>
      <c r="Z160" s="164"/>
      <c r="AA160" s="165"/>
      <c r="AB160" s="166"/>
      <c r="AC160" s="167"/>
    </row>
    <row r="161" spans="1:29" s="141" customFormat="1" ht="20.25" customHeight="1">
      <c r="A161" s="377" t="s">
        <v>218</v>
      </c>
      <c r="B161" s="186"/>
      <c r="C161" s="188"/>
      <c r="D161" s="169" t="s">
        <v>456</v>
      </c>
      <c r="E161" s="124" t="s">
        <v>1371</v>
      </c>
      <c r="F161" s="319" t="s">
        <v>1847</v>
      </c>
      <c r="G161" s="627"/>
      <c r="H161" s="631"/>
      <c r="I161" s="624"/>
      <c r="J161" s="517" t="s">
        <v>1372</v>
      </c>
      <c r="K161" s="125"/>
      <c r="L161" s="125" t="s">
        <v>1373</v>
      </c>
      <c r="M161" s="514">
        <v>2</v>
      </c>
      <c r="N161" s="135" t="s">
        <v>17</v>
      </c>
      <c r="O161" s="235"/>
      <c r="P161" s="90">
        <f t="shared" si="10"/>
        <v>2</v>
      </c>
      <c r="Q161" s="382"/>
      <c r="R161" s="726"/>
      <c r="S161" s="383" t="s">
        <v>1711</v>
      </c>
      <c r="T161" s="27"/>
      <c r="U161" s="81"/>
      <c r="V161" s="738"/>
      <c r="W161" s="744"/>
      <c r="X161" s="63"/>
      <c r="Y161" s="139"/>
      <c r="Z161" s="131"/>
      <c r="AA161" s="140"/>
    </row>
    <row r="162" spans="1:29" s="141" customFormat="1" ht="20.25" customHeight="1">
      <c r="A162" s="377" t="s">
        <v>218</v>
      </c>
      <c r="B162" s="186"/>
      <c r="C162" s="188"/>
      <c r="D162" s="169" t="s">
        <v>456</v>
      </c>
      <c r="E162" s="124" t="s">
        <v>1374</v>
      </c>
      <c r="F162" s="319" t="s">
        <v>1847</v>
      </c>
      <c r="G162" s="627"/>
      <c r="H162" s="631"/>
      <c r="I162" s="624"/>
      <c r="J162" s="517" t="s">
        <v>1375</v>
      </c>
      <c r="K162" s="125"/>
      <c r="L162" s="125" t="s">
        <v>1376</v>
      </c>
      <c r="M162" s="514">
        <v>4</v>
      </c>
      <c r="N162" s="135" t="s">
        <v>17</v>
      </c>
      <c r="O162" s="235"/>
      <c r="P162" s="90">
        <f t="shared" si="10"/>
        <v>4</v>
      </c>
      <c r="Q162" s="382"/>
      <c r="R162" s="726"/>
      <c r="S162" s="383" t="s">
        <v>1711</v>
      </c>
      <c r="T162" s="27"/>
      <c r="U162" s="81"/>
      <c r="V162" s="738"/>
      <c r="W162" s="81"/>
      <c r="X162" s="63"/>
      <c r="Y162" s="139"/>
      <c r="Z162" s="131"/>
      <c r="AA162" s="140"/>
    </row>
    <row r="163" spans="1:29" s="141" customFormat="1" ht="20.25" customHeight="1">
      <c r="A163" s="377" t="s">
        <v>218</v>
      </c>
      <c r="B163" s="186"/>
      <c r="C163" s="188"/>
      <c r="D163" s="169" t="s">
        <v>456</v>
      </c>
      <c r="E163" s="124" t="s">
        <v>1854</v>
      </c>
      <c r="F163" s="319" t="s">
        <v>1847</v>
      </c>
      <c r="G163" s="627"/>
      <c r="H163" s="631"/>
      <c r="I163" s="624"/>
      <c r="J163" s="517" t="s">
        <v>1855</v>
      </c>
      <c r="K163" s="125"/>
      <c r="L163" s="125" t="s">
        <v>1373</v>
      </c>
      <c r="M163" s="514">
        <v>3</v>
      </c>
      <c r="N163" s="135" t="s">
        <v>17</v>
      </c>
      <c r="O163" s="235"/>
      <c r="P163" s="90">
        <v>3</v>
      </c>
      <c r="Q163" s="382"/>
      <c r="R163" s="726"/>
      <c r="S163" s="383" t="s">
        <v>1711</v>
      </c>
      <c r="T163" s="27"/>
      <c r="U163" s="81"/>
      <c r="V163" s="738"/>
      <c r="W163" s="744"/>
      <c r="X163" s="63"/>
      <c r="Y163" s="139"/>
      <c r="Z163" s="131"/>
      <c r="AA163" s="140"/>
    </row>
    <row r="164" spans="1:29" ht="19.5" customHeight="1">
      <c r="A164" s="359" t="s">
        <v>20</v>
      </c>
      <c r="C164" t="str">
        <f>K$2</f>
        <v>10/08/2019</v>
      </c>
      <c r="D164" s="169" t="s">
        <v>456</v>
      </c>
      <c r="E164" s="181" t="s">
        <v>1023</v>
      </c>
      <c r="F164" s="310">
        <v>43124</v>
      </c>
      <c r="G164" s="625"/>
      <c r="H164" s="626"/>
      <c r="I164" s="624"/>
      <c r="J164" s="719" t="s">
        <v>1164</v>
      </c>
      <c r="K164" s="133" t="s">
        <v>1024</v>
      </c>
      <c r="L164" s="133" t="s">
        <v>1181</v>
      </c>
      <c r="M164" s="370">
        <v>1</v>
      </c>
      <c r="N164" s="236" t="s">
        <v>17</v>
      </c>
      <c r="O164" s="235"/>
      <c r="P164" s="90">
        <f t="shared" ref="P164:P204" si="11">IF(O164="",M164,M164-O164)</f>
        <v>1</v>
      </c>
      <c r="Q164" s="270"/>
      <c r="R164" s="726"/>
      <c r="S164" s="553" t="s">
        <v>168</v>
      </c>
      <c r="T164" s="11"/>
      <c r="V164" s="36"/>
      <c r="W164" s="36"/>
      <c r="X164" s="63"/>
      <c r="Y164" s="63"/>
      <c r="Z164" s="64"/>
      <c r="AA164" s="65"/>
      <c r="AB164" s="115"/>
      <c r="AC164" s="117"/>
    </row>
    <row r="165" spans="1:29" ht="20.25" customHeight="1">
      <c r="A165" s="359" t="s">
        <v>28</v>
      </c>
      <c r="B165" s="186"/>
      <c r="C165" s="188"/>
      <c r="D165" s="169" t="s">
        <v>456</v>
      </c>
      <c r="E165" s="124" t="s">
        <v>1468</v>
      </c>
      <c r="F165" s="319">
        <v>43441</v>
      </c>
      <c r="G165" s="627"/>
      <c r="H165" s="631"/>
      <c r="I165" s="624"/>
      <c r="J165" s="718" t="s">
        <v>1469</v>
      </c>
      <c r="K165" s="125" t="s">
        <v>772</v>
      </c>
      <c r="L165" s="125" t="s">
        <v>1470</v>
      </c>
      <c r="M165" s="514">
        <v>0.25</v>
      </c>
      <c r="N165" s="127" t="s">
        <v>17</v>
      </c>
      <c r="O165" s="235"/>
      <c r="P165" s="90">
        <f t="shared" si="11"/>
        <v>0.25</v>
      </c>
      <c r="Q165" s="283"/>
      <c r="R165" s="726"/>
      <c r="S165" s="288">
        <v>43643</v>
      </c>
      <c r="T165" s="27"/>
      <c r="U165" s="81"/>
      <c r="V165" s="82"/>
      <c r="W165" s="81"/>
      <c r="X165" s="63"/>
      <c r="Y165" s="139"/>
      <c r="Z165" s="131"/>
      <c r="AA165" s="140"/>
      <c r="AB165" s="141"/>
      <c r="AC165" s="141"/>
    </row>
    <row r="166" spans="1:29" ht="20.25" customHeight="1">
      <c r="A166" s="377" t="s">
        <v>20</v>
      </c>
      <c r="B166" s="186"/>
      <c r="C166" s="188"/>
      <c r="D166" s="169" t="s">
        <v>456</v>
      </c>
      <c r="E166" s="124" t="s">
        <v>330</v>
      </c>
      <c r="F166" s="319">
        <v>42269</v>
      </c>
      <c r="G166" s="627"/>
      <c r="H166" s="631"/>
      <c r="I166" s="624"/>
      <c r="J166" s="718" t="s">
        <v>331</v>
      </c>
      <c r="K166" s="125" t="s">
        <v>334</v>
      </c>
      <c r="L166" s="125" t="s">
        <v>1184</v>
      </c>
      <c r="M166" s="514">
        <v>483</v>
      </c>
      <c r="N166" s="259" t="s">
        <v>1160</v>
      </c>
      <c r="O166" s="235"/>
      <c r="P166" s="90">
        <f t="shared" si="11"/>
        <v>483</v>
      </c>
      <c r="Q166" s="382"/>
      <c r="R166" s="726"/>
      <c r="S166" s="383" t="s">
        <v>168</v>
      </c>
      <c r="T166" s="27"/>
      <c r="U166" s="81"/>
      <c r="V166" s="82"/>
      <c r="W166" s="81"/>
      <c r="X166" s="63"/>
      <c r="Y166" s="139"/>
      <c r="Z166" s="131">
        <v>0</v>
      </c>
      <c r="AA166" s="140"/>
      <c r="AB166" s="141"/>
      <c r="AC166" s="141"/>
    </row>
    <row r="167" spans="1:29" ht="20.25" customHeight="1">
      <c r="A167" s="359" t="s">
        <v>20</v>
      </c>
      <c r="B167" s="186"/>
      <c r="C167" s="188"/>
      <c r="D167" s="169" t="s">
        <v>456</v>
      </c>
      <c r="E167" s="124" t="s">
        <v>318</v>
      </c>
      <c r="F167" s="319">
        <v>43294</v>
      </c>
      <c r="G167" s="627"/>
      <c r="H167" s="631"/>
      <c r="I167" s="624"/>
      <c r="J167" s="718" t="s">
        <v>319</v>
      </c>
      <c r="K167" s="125" t="s">
        <v>320</v>
      </c>
      <c r="L167" s="125" t="s">
        <v>1383</v>
      </c>
      <c r="M167" s="514">
        <v>0.83</v>
      </c>
      <c r="N167" s="127" t="s">
        <v>17</v>
      </c>
      <c r="O167" s="235"/>
      <c r="P167" s="90">
        <f t="shared" si="11"/>
        <v>0.83</v>
      </c>
      <c r="Q167" s="382"/>
      <c r="R167" s="726"/>
      <c r="S167" s="383">
        <v>43525</v>
      </c>
      <c r="T167" s="27"/>
      <c r="U167" s="81"/>
      <c r="V167" s="82"/>
      <c r="W167" s="81"/>
      <c r="X167" s="63"/>
      <c r="Y167" s="139"/>
      <c r="Z167" s="131"/>
      <c r="AA167" s="140"/>
      <c r="AB167" s="141"/>
      <c r="AC167" s="141"/>
    </row>
    <row r="168" spans="1:29" s="168" customFormat="1" ht="18.75" customHeight="1">
      <c r="A168" s="377" t="s">
        <v>20</v>
      </c>
      <c r="B168" s="157"/>
      <c r="C168" s="158"/>
      <c r="D168" s="169" t="s">
        <v>456</v>
      </c>
      <c r="E168" s="124" t="s">
        <v>154</v>
      </c>
      <c r="F168" s="320">
        <v>43543</v>
      </c>
      <c r="G168" s="625"/>
      <c r="H168" s="626"/>
      <c r="I168" s="624"/>
      <c r="J168" s="718" t="s">
        <v>403</v>
      </c>
      <c r="K168" s="125" t="s">
        <v>157</v>
      </c>
      <c r="L168" s="133" t="s">
        <v>1344</v>
      </c>
      <c r="M168" s="370">
        <v>0.95</v>
      </c>
      <c r="N168" s="135" t="s">
        <v>17</v>
      </c>
      <c r="O168" s="235"/>
      <c r="P168" s="90">
        <f t="shared" si="11"/>
        <v>0.95</v>
      </c>
      <c r="Q168" s="283" t="s">
        <v>2156</v>
      </c>
      <c r="R168" s="726"/>
      <c r="S168" s="550" t="s">
        <v>168</v>
      </c>
      <c r="T168" s="159"/>
      <c r="U168" s="160"/>
      <c r="V168" s="512"/>
      <c r="W168" s="160"/>
      <c r="X168" s="163"/>
      <c r="Y168" s="163"/>
      <c r="Z168" s="164"/>
      <c r="AA168" s="165"/>
      <c r="AB168" s="166"/>
      <c r="AC168" s="167"/>
    </row>
    <row r="169" spans="1:29" s="53" customFormat="1" ht="21.75" customHeight="1">
      <c r="A169" s="359" t="s">
        <v>52</v>
      </c>
      <c r="C169" s="84"/>
      <c r="D169" s="169" t="s">
        <v>461</v>
      </c>
      <c r="E169" s="124" t="s">
        <v>584</v>
      </c>
      <c r="F169" s="323">
        <v>42948</v>
      </c>
      <c r="G169" s="627"/>
      <c r="H169" s="631"/>
      <c r="I169" s="624"/>
      <c r="J169" s="506" t="s">
        <v>585</v>
      </c>
      <c r="K169" s="125" t="s">
        <v>586</v>
      </c>
      <c r="L169" s="133" t="s">
        <v>765</v>
      </c>
      <c r="M169" s="368">
        <v>3.75</v>
      </c>
      <c r="N169" s="127" t="s">
        <v>17</v>
      </c>
      <c r="O169" s="235"/>
      <c r="P169" s="90">
        <f t="shared" si="11"/>
        <v>3.75</v>
      </c>
      <c r="Q169" s="271"/>
      <c r="R169" s="726"/>
      <c r="S169" s="288" t="s">
        <v>168</v>
      </c>
      <c r="T169" s="54"/>
      <c r="U169" s="73"/>
      <c r="V169" s="74"/>
      <c r="W169" s="73"/>
      <c r="X169" s="66"/>
      <c r="Y169" s="66">
        <v>34</v>
      </c>
      <c r="Z169" s="67"/>
      <c r="AA169" s="68"/>
      <c r="AB169" s="142"/>
      <c r="AC169" s="117"/>
    </row>
    <row r="170" spans="1:29" ht="19.5" customHeight="1">
      <c r="A170" s="359" t="s">
        <v>20</v>
      </c>
      <c r="C170" s="84"/>
      <c r="D170" s="261" t="s">
        <v>475</v>
      </c>
      <c r="E170" s="262"/>
      <c r="F170" s="322"/>
      <c r="G170" s="627"/>
      <c r="H170" s="631"/>
      <c r="I170" s="624"/>
      <c r="J170" s="516" t="s">
        <v>1211</v>
      </c>
      <c r="K170" s="258" t="s">
        <v>546</v>
      </c>
      <c r="L170" s="354" t="s">
        <v>1212</v>
      </c>
      <c r="M170" s="371">
        <v>1</v>
      </c>
      <c r="N170" s="263" t="s">
        <v>268</v>
      </c>
      <c r="O170" s="235"/>
      <c r="P170" s="90">
        <f t="shared" si="11"/>
        <v>1</v>
      </c>
      <c r="Q170" s="329"/>
      <c r="R170" s="726"/>
      <c r="S170" s="337" t="s">
        <v>168</v>
      </c>
      <c r="T170" s="54"/>
      <c r="U170" s="73"/>
      <c r="V170" s="74"/>
      <c r="W170" s="73"/>
      <c r="X170" s="66"/>
      <c r="Y170" s="66"/>
      <c r="Z170" s="67"/>
      <c r="AA170" s="68"/>
      <c r="AB170" s="142"/>
      <c r="AC170" s="117"/>
    </row>
    <row r="171" spans="1:29" s="141" customFormat="1" ht="20.25">
      <c r="A171" s="377" t="s">
        <v>66</v>
      </c>
      <c r="B171" s="186"/>
      <c r="C171" s="188"/>
      <c r="D171" s="249" t="s">
        <v>744</v>
      </c>
      <c r="E171" s="124" t="s">
        <v>998</v>
      </c>
      <c r="F171" s="378" t="s">
        <v>2031</v>
      </c>
      <c r="G171" s="627"/>
      <c r="H171" s="631"/>
      <c r="I171" s="632" t="s">
        <v>2341</v>
      </c>
      <c r="J171" s="517" t="s">
        <v>2342</v>
      </c>
      <c r="K171" s="125" t="s">
        <v>999</v>
      </c>
      <c r="L171" s="125" t="s">
        <v>1252</v>
      </c>
      <c r="M171" s="514">
        <v>2</v>
      </c>
      <c r="N171" s="135" t="s">
        <v>17</v>
      </c>
      <c r="O171" s="235"/>
      <c r="P171" s="90">
        <f t="shared" si="11"/>
        <v>2</v>
      </c>
      <c r="Q171" s="382"/>
      <c r="R171" s="629"/>
      <c r="S171" s="383" t="s">
        <v>2343</v>
      </c>
      <c r="T171" s="27"/>
      <c r="U171" s="81"/>
      <c r="V171" s="82"/>
      <c r="W171" s="81"/>
      <c r="X171" s="63"/>
      <c r="Y171" s="139"/>
      <c r="Z171" s="131"/>
      <c r="AA171" s="140"/>
    </row>
    <row r="172" spans="1:29" s="141" customFormat="1" ht="20.25">
      <c r="A172" s="377" t="s">
        <v>66</v>
      </c>
      <c r="B172" s="186"/>
      <c r="C172" s="188"/>
      <c r="D172" s="249" t="s">
        <v>744</v>
      </c>
      <c r="E172" s="124" t="s">
        <v>998</v>
      </c>
      <c r="F172" s="378" t="s">
        <v>2031</v>
      </c>
      <c r="G172" s="627"/>
      <c r="H172" s="631"/>
      <c r="I172" s="632" t="s">
        <v>2341</v>
      </c>
      <c r="J172" s="517" t="s">
        <v>2342</v>
      </c>
      <c r="K172" s="125" t="s">
        <v>999</v>
      </c>
      <c r="L172" s="125" t="s">
        <v>1252</v>
      </c>
      <c r="M172" s="514">
        <v>58</v>
      </c>
      <c r="N172" s="135" t="s">
        <v>17</v>
      </c>
      <c r="O172" s="235"/>
      <c r="P172" s="90">
        <f t="shared" si="11"/>
        <v>58</v>
      </c>
      <c r="Q172" s="382"/>
      <c r="R172" s="629"/>
      <c r="S172" s="383" t="s">
        <v>2344</v>
      </c>
      <c r="T172" s="27"/>
      <c r="U172" s="81"/>
      <c r="V172" s="82"/>
      <c r="W172" s="81"/>
      <c r="X172" s="63"/>
      <c r="Y172" s="139"/>
      <c r="Z172" s="131"/>
      <c r="AA172" s="140"/>
    </row>
    <row r="173" spans="1:29" s="168" customFormat="1" ht="21.75" customHeight="1">
      <c r="A173" s="359" t="s">
        <v>28</v>
      </c>
      <c r="B173" s="157"/>
      <c r="C173" s="158"/>
      <c r="D173" s="85" t="s">
        <v>744</v>
      </c>
      <c r="E173" s="536" t="s">
        <v>1721</v>
      </c>
      <c r="F173" s="601">
        <v>43662</v>
      </c>
      <c r="G173" s="625"/>
      <c r="H173" s="626"/>
      <c r="I173" s="624" t="s">
        <v>2347</v>
      </c>
      <c r="J173" s="610" t="s">
        <v>1723</v>
      </c>
      <c r="K173" s="541" t="s">
        <v>1724</v>
      </c>
      <c r="L173" s="252" t="s">
        <v>1395</v>
      </c>
      <c r="M173" s="764">
        <v>15</v>
      </c>
      <c r="N173" s="547" t="s">
        <v>17</v>
      </c>
      <c r="O173" s="537">
        <v>15</v>
      </c>
      <c r="P173" s="603">
        <f t="shared" si="11"/>
        <v>0</v>
      </c>
      <c r="Q173" s="326" t="s">
        <v>2192</v>
      </c>
      <c r="R173" s="726" t="s">
        <v>2288</v>
      </c>
      <c r="S173" s="383">
        <v>44317</v>
      </c>
      <c r="T173" s="159"/>
      <c r="U173" s="160"/>
      <c r="V173" s="512"/>
      <c r="W173" s="160"/>
      <c r="X173" s="163"/>
      <c r="Y173" s="163"/>
      <c r="Z173" s="164"/>
      <c r="AA173" s="165"/>
      <c r="AB173" s="166"/>
      <c r="AC173" s="167"/>
    </row>
    <row r="174" spans="1:29" s="168" customFormat="1" ht="18.75" customHeight="1">
      <c r="A174" s="359" t="s">
        <v>71</v>
      </c>
      <c r="B174" s="157"/>
      <c r="C174" s="158"/>
      <c r="D174" s="249" t="s">
        <v>735</v>
      </c>
      <c r="E174" s="124" t="s">
        <v>169</v>
      </c>
      <c r="F174" s="320" t="s">
        <v>2056</v>
      </c>
      <c r="G174" s="625"/>
      <c r="H174" s="626"/>
      <c r="I174" s="624"/>
      <c r="J174" s="506" t="s">
        <v>2069</v>
      </c>
      <c r="K174" s="125" t="s">
        <v>1406</v>
      </c>
      <c r="L174" s="133" t="s">
        <v>7</v>
      </c>
      <c r="M174" s="714">
        <v>54</v>
      </c>
      <c r="N174" s="127" t="s">
        <v>1657</v>
      </c>
      <c r="O174" s="235"/>
      <c r="P174" s="90">
        <f t="shared" si="11"/>
        <v>54</v>
      </c>
      <c r="Q174" s="526" t="s">
        <v>2065</v>
      </c>
      <c r="R174" s="726"/>
      <c r="S174" s="277" t="s">
        <v>2066</v>
      </c>
      <c r="T174" s="159"/>
      <c r="U174" s="160"/>
      <c r="V174" s="161"/>
      <c r="W174" s="162"/>
      <c r="X174" s="163"/>
      <c r="Y174" s="163"/>
      <c r="Z174" s="164"/>
      <c r="AA174" s="165"/>
      <c r="AB174" s="166"/>
      <c r="AC174" s="167"/>
    </row>
    <row r="175" spans="1:29" s="168" customFormat="1" ht="18.75" customHeight="1">
      <c r="A175" s="359" t="s">
        <v>28</v>
      </c>
      <c r="B175" s="157"/>
      <c r="C175" s="158"/>
      <c r="D175" s="249" t="s">
        <v>496</v>
      </c>
      <c r="E175" s="124" t="s">
        <v>574</v>
      </c>
      <c r="F175" s="320" t="s">
        <v>1693</v>
      </c>
      <c r="G175" s="625"/>
      <c r="H175" s="626"/>
      <c r="I175" s="624"/>
      <c r="J175" s="517" t="s">
        <v>2253</v>
      </c>
      <c r="K175" s="125" t="s">
        <v>1301</v>
      </c>
      <c r="L175" s="133" t="s">
        <v>77</v>
      </c>
      <c r="M175" s="370">
        <v>32</v>
      </c>
      <c r="N175" s="127" t="s">
        <v>17</v>
      </c>
      <c r="O175" s="235"/>
      <c r="P175" s="90">
        <f t="shared" ref="P175" si="12">IF(O175="",M175,M175-O175)</f>
        <v>32</v>
      </c>
      <c r="Q175" s="283"/>
      <c r="R175" s="726"/>
      <c r="S175" s="550">
        <v>43816</v>
      </c>
      <c r="T175" s="159"/>
      <c r="U175" s="160"/>
      <c r="V175" s="512"/>
      <c r="W175" s="160"/>
      <c r="X175" s="163"/>
      <c r="Y175" s="163"/>
      <c r="Z175" s="164"/>
      <c r="AA175" s="165"/>
      <c r="AB175" s="166"/>
      <c r="AC175" s="167"/>
    </row>
    <row r="176" spans="1:29" s="168" customFormat="1" ht="18.75" customHeight="1">
      <c r="A176" s="359" t="s">
        <v>20</v>
      </c>
      <c r="B176" s="157"/>
      <c r="C176" s="158"/>
      <c r="D176" s="249" t="s">
        <v>1658</v>
      </c>
      <c r="E176" s="124" t="s">
        <v>30</v>
      </c>
      <c r="F176" s="320">
        <v>43419</v>
      </c>
      <c r="G176" s="625"/>
      <c r="H176" s="626"/>
      <c r="I176" s="624"/>
      <c r="J176" s="517" t="s">
        <v>30</v>
      </c>
      <c r="K176" s="125" t="s">
        <v>1869</v>
      </c>
      <c r="L176" s="133"/>
      <c r="M176" s="370">
        <v>1</v>
      </c>
      <c r="N176" s="127" t="s">
        <v>268</v>
      </c>
      <c r="O176" s="235"/>
      <c r="P176" s="90">
        <f t="shared" si="11"/>
        <v>1</v>
      </c>
      <c r="Q176" s="283"/>
      <c r="R176" s="726"/>
      <c r="S176" s="550" t="s">
        <v>168</v>
      </c>
      <c r="T176" s="159"/>
      <c r="U176" s="160"/>
      <c r="V176" s="512"/>
      <c r="W176" s="160"/>
      <c r="X176" s="163"/>
      <c r="Y176" s="163"/>
      <c r="Z176" s="164"/>
      <c r="AA176" s="165"/>
      <c r="AB176" s="166"/>
      <c r="AC176" s="167"/>
    </row>
    <row r="177" spans="1:29" s="141" customFormat="1" ht="20.25" customHeight="1">
      <c r="A177" s="377" t="s">
        <v>28</v>
      </c>
      <c r="B177" s="186"/>
      <c r="C177" s="188"/>
      <c r="D177" s="249" t="s">
        <v>639</v>
      </c>
      <c r="E177" s="124" t="s">
        <v>2011</v>
      </c>
      <c r="F177" s="319" t="s">
        <v>2009</v>
      </c>
      <c r="G177" s="627"/>
      <c r="H177" s="631"/>
      <c r="I177" s="632"/>
      <c r="J177" s="517" t="s">
        <v>1569</v>
      </c>
      <c r="K177" s="125" t="s">
        <v>542</v>
      </c>
      <c r="L177" s="125" t="s">
        <v>357</v>
      </c>
      <c r="M177" s="710">
        <v>28</v>
      </c>
      <c r="N177" s="135" t="s">
        <v>17</v>
      </c>
      <c r="O177" s="235">
        <v>1</v>
      </c>
      <c r="P177" s="90">
        <f t="shared" si="11"/>
        <v>27</v>
      </c>
      <c r="Q177" s="382"/>
      <c r="R177" s="752" t="s">
        <v>777</v>
      </c>
      <c r="S177" s="383" t="s">
        <v>2010</v>
      </c>
      <c r="T177" s="27"/>
      <c r="U177" s="81"/>
      <c r="V177" s="738"/>
      <c r="W177" s="744"/>
      <c r="X177" s="63"/>
      <c r="Y177" s="139"/>
      <c r="Z177" s="131"/>
      <c r="AA177" s="140"/>
    </row>
    <row r="178" spans="1:29" ht="20.25" customHeight="1">
      <c r="A178" s="359" t="s">
        <v>20</v>
      </c>
      <c r="B178" s="186"/>
      <c r="C178" s="188"/>
      <c r="D178" s="249" t="s">
        <v>625</v>
      </c>
      <c r="E178" s="124" t="s">
        <v>1432</v>
      </c>
      <c r="F178" s="319">
        <v>43336</v>
      </c>
      <c r="G178" s="627"/>
      <c r="H178" s="631"/>
      <c r="I178" s="632"/>
      <c r="J178" s="718" t="s">
        <v>1449</v>
      </c>
      <c r="K178" s="125" t="s">
        <v>1450</v>
      </c>
      <c r="L178" s="125" t="s">
        <v>1451</v>
      </c>
      <c r="M178" s="514">
        <v>0.65999999999999992</v>
      </c>
      <c r="N178" s="127" t="s">
        <v>17</v>
      </c>
      <c r="O178" s="235"/>
      <c r="P178" s="90">
        <f t="shared" si="11"/>
        <v>0.65999999999999992</v>
      </c>
      <c r="Q178" s="382"/>
      <c r="R178" s="726"/>
      <c r="S178" s="383" t="s">
        <v>168</v>
      </c>
      <c r="T178" s="27"/>
      <c r="U178" s="81"/>
      <c r="V178" s="82"/>
      <c r="W178" s="81"/>
      <c r="X178" s="63"/>
      <c r="Y178" s="139"/>
      <c r="Z178" s="131"/>
      <c r="AA178" s="140"/>
      <c r="AB178" s="141"/>
      <c r="AC178" s="141"/>
    </row>
    <row r="179" spans="1:29" ht="20.25" customHeight="1">
      <c r="A179" s="359" t="s">
        <v>20</v>
      </c>
      <c r="B179" s="186"/>
      <c r="C179" s="188"/>
      <c r="D179" s="249" t="s">
        <v>625</v>
      </c>
      <c r="E179" s="124" t="s">
        <v>1433</v>
      </c>
      <c r="F179" s="319">
        <v>43336</v>
      </c>
      <c r="G179" s="627"/>
      <c r="H179" s="631"/>
      <c r="I179" s="632"/>
      <c r="J179" s="718" t="s">
        <v>1452</v>
      </c>
      <c r="K179" s="125" t="s">
        <v>1453</v>
      </c>
      <c r="L179" s="125" t="s">
        <v>1451</v>
      </c>
      <c r="M179" s="514">
        <v>0.65999999999999992</v>
      </c>
      <c r="N179" s="127" t="s">
        <v>17</v>
      </c>
      <c r="O179" s="235"/>
      <c r="P179" s="90">
        <f t="shared" si="11"/>
        <v>0.65999999999999992</v>
      </c>
      <c r="Q179" s="382"/>
      <c r="R179" s="726"/>
      <c r="S179" s="383" t="s">
        <v>168</v>
      </c>
      <c r="T179" s="27"/>
      <c r="U179" s="81"/>
      <c r="V179" s="82"/>
      <c r="W179" s="81"/>
      <c r="X179" s="63"/>
      <c r="Y179" s="139"/>
      <c r="Z179" s="131"/>
      <c r="AA179" s="140"/>
      <c r="AB179" s="141"/>
      <c r="AC179" s="141"/>
    </row>
    <row r="180" spans="1:29" ht="20.25" customHeight="1">
      <c r="A180" s="359" t="s">
        <v>20</v>
      </c>
      <c r="B180" s="186"/>
      <c r="C180" s="188"/>
      <c r="D180" s="249" t="s">
        <v>625</v>
      </c>
      <c r="E180" s="124" t="s">
        <v>1434</v>
      </c>
      <c r="F180" s="319">
        <v>43336</v>
      </c>
      <c r="G180" s="627"/>
      <c r="H180" s="631"/>
      <c r="I180" s="632"/>
      <c r="J180" s="718" t="s">
        <v>1454</v>
      </c>
      <c r="K180" s="125" t="s">
        <v>1455</v>
      </c>
      <c r="L180" s="125" t="s">
        <v>1456</v>
      </c>
      <c r="M180" s="514">
        <v>1</v>
      </c>
      <c r="N180" s="127" t="s">
        <v>17</v>
      </c>
      <c r="O180" s="235"/>
      <c r="P180" s="90">
        <f t="shared" si="11"/>
        <v>1</v>
      </c>
      <c r="Q180" s="382"/>
      <c r="R180" s="726"/>
      <c r="S180" s="383" t="s">
        <v>168</v>
      </c>
      <c r="T180" s="27"/>
      <c r="U180" s="81"/>
      <c r="V180" s="82"/>
      <c r="W180" s="81"/>
      <c r="X180" s="63"/>
      <c r="Y180" s="139"/>
      <c r="Z180" s="131"/>
      <c r="AA180" s="140"/>
      <c r="AB180" s="141"/>
      <c r="AC180" s="141"/>
    </row>
    <row r="181" spans="1:29" ht="20.25" customHeight="1">
      <c r="A181" s="359" t="s">
        <v>20</v>
      </c>
      <c r="B181" s="186"/>
      <c r="C181" s="188"/>
      <c r="D181" s="249" t="s">
        <v>625</v>
      </c>
      <c r="E181" s="124" t="s">
        <v>1435</v>
      </c>
      <c r="F181" s="319">
        <v>43336</v>
      </c>
      <c r="G181" s="627"/>
      <c r="H181" s="631"/>
      <c r="I181" s="632"/>
      <c r="J181" s="718" t="s">
        <v>1457</v>
      </c>
      <c r="K181" s="125" t="s">
        <v>1458</v>
      </c>
      <c r="L181" s="125" t="s">
        <v>1456</v>
      </c>
      <c r="M181" s="514">
        <v>1</v>
      </c>
      <c r="N181" s="127" t="s">
        <v>17</v>
      </c>
      <c r="O181" s="235"/>
      <c r="P181" s="90">
        <f t="shared" si="11"/>
        <v>1</v>
      </c>
      <c r="Q181" s="382"/>
      <c r="R181" s="726"/>
      <c r="S181" s="383" t="s">
        <v>168</v>
      </c>
      <c r="T181" s="27"/>
      <c r="U181" s="81"/>
      <c r="V181" s="82"/>
      <c r="W181" s="81"/>
      <c r="X181" s="63"/>
      <c r="Y181" s="139"/>
      <c r="Z181" s="131"/>
      <c r="AA181" s="140"/>
      <c r="AB181" s="141"/>
      <c r="AC181" s="141"/>
    </row>
    <row r="182" spans="1:29" ht="20.25" customHeight="1">
      <c r="A182" s="359" t="s">
        <v>20</v>
      </c>
      <c r="B182" s="186"/>
      <c r="C182" s="188"/>
      <c r="D182" s="249" t="s">
        <v>625</v>
      </c>
      <c r="E182" s="124" t="s">
        <v>1436</v>
      </c>
      <c r="F182" s="319">
        <v>43336</v>
      </c>
      <c r="G182" s="627"/>
      <c r="H182" s="631"/>
      <c r="I182" s="632"/>
      <c r="J182" s="718" t="s">
        <v>1459</v>
      </c>
      <c r="K182" s="125" t="s">
        <v>1460</v>
      </c>
      <c r="L182" s="125" t="s">
        <v>1456</v>
      </c>
      <c r="M182" s="514">
        <v>1</v>
      </c>
      <c r="N182" s="127" t="s">
        <v>17</v>
      </c>
      <c r="O182" s="235"/>
      <c r="P182" s="90">
        <f t="shared" si="11"/>
        <v>1</v>
      </c>
      <c r="Q182" s="382"/>
      <c r="R182" s="726"/>
      <c r="S182" s="383" t="s">
        <v>168</v>
      </c>
      <c r="T182" s="27"/>
      <c r="U182" s="81"/>
      <c r="V182" s="82"/>
      <c r="W182" s="81"/>
      <c r="X182" s="63"/>
      <c r="Y182" s="139"/>
      <c r="Z182" s="131"/>
      <c r="AA182" s="140"/>
      <c r="AB182" s="141"/>
      <c r="AC182" s="141"/>
    </row>
    <row r="183" spans="1:29" ht="20.25" customHeight="1">
      <c r="A183" s="359" t="s">
        <v>20</v>
      </c>
      <c r="B183" s="186"/>
      <c r="C183" s="188"/>
      <c r="D183" s="249" t="s">
        <v>625</v>
      </c>
      <c r="E183" s="124" t="s">
        <v>1437</v>
      </c>
      <c r="F183" s="319">
        <v>43336</v>
      </c>
      <c r="G183" s="627"/>
      <c r="H183" s="631"/>
      <c r="I183" s="632"/>
      <c r="J183" s="718" t="s">
        <v>1461</v>
      </c>
      <c r="K183" s="125" t="s">
        <v>1462</v>
      </c>
      <c r="L183" s="125" t="s">
        <v>1456</v>
      </c>
      <c r="M183" s="514">
        <v>1</v>
      </c>
      <c r="N183" s="127" t="s">
        <v>17</v>
      </c>
      <c r="O183" s="235"/>
      <c r="P183" s="90">
        <f t="shared" si="11"/>
        <v>1</v>
      </c>
      <c r="Q183" s="382"/>
      <c r="R183" s="726"/>
      <c r="S183" s="383" t="s">
        <v>168</v>
      </c>
      <c r="T183" s="27"/>
      <c r="U183" s="81"/>
      <c r="V183" s="82"/>
      <c r="W183" s="81"/>
      <c r="X183" s="63"/>
      <c r="Y183" s="139"/>
      <c r="Z183" s="131"/>
      <c r="AA183" s="140"/>
      <c r="AB183" s="141"/>
      <c r="AC183" s="141"/>
    </row>
    <row r="184" spans="1:29" ht="20.25" customHeight="1">
      <c r="A184" s="359" t="s">
        <v>20</v>
      </c>
      <c r="B184" s="186"/>
      <c r="C184" s="188"/>
      <c r="D184" s="249" t="s">
        <v>625</v>
      </c>
      <c r="E184" s="124" t="s">
        <v>1428</v>
      </c>
      <c r="F184" s="319">
        <v>43336</v>
      </c>
      <c r="G184" s="627"/>
      <c r="H184" s="631"/>
      <c r="I184" s="632"/>
      <c r="J184" s="718" t="s">
        <v>1440</v>
      </c>
      <c r="K184" s="125" t="s">
        <v>1441</v>
      </c>
      <c r="L184" s="125" t="s">
        <v>1442</v>
      </c>
      <c r="M184" s="514">
        <v>0.5299999999999998</v>
      </c>
      <c r="N184" s="127" t="s">
        <v>17</v>
      </c>
      <c r="O184" s="235"/>
      <c r="P184" s="90">
        <f t="shared" si="11"/>
        <v>0.5299999999999998</v>
      </c>
      <c r="Q184" s="382"/>
      <c r="R184" s="726"/>
      <c r="S184" s="383" t="s">
        <v>168</v>
      </c>
      <c r="T184" s="27"/>
      <c r="U184" s="81"/>
      <c r="V184" s="82"/>
      <c r="W184" s="81"/>
      <c r="X184" s="63"/>
      <c r="Y184" s="139"/>
      <c r="Z184" s="131"/>
      <c r="AA184" s="140"/>
      <c r="AB184" s="141"/>
      <c r="AC184" s="141"/>
    </row>
    <row r="185" spans="1:29" ht="20.25" customHeight="1">
      <c r="A185" s="359" t="s">
        <v>20</v>
      </c>
      <c r="B185" s="186"/>
      <c r="C185" s="188"/>
      <c r="D185" s="249" t="s">
        <v>625</v>
      </c>
      <c r="E185" s="124" t="s">
        <v>1429</v>
      </c>
      <c r="F185" s="319">
        <v>43336</v>
      </c>
      <c r="G185" s="627"/>
      <c r="H185" s="631"/>
      <c r="I185" s="632"/>
      <c r="J185" s="718" t="s">
        <v>1443</v>
      </c>
      <c r="K185" s="125" t="s">
        <v>1444</v>
      </c>
      <c r="L185" s="125" t="s">
        <v>1442</v>
      </c>
      <c r="M185" s="514">
        <v>0.55000000000000004</v>
      </c>
      <c r="N185" s="127" t="s">
        <v>17</v>
      </c>
      <c r="O185" s="235"/>
      <c r="P185" s="90">
        <f t="shared" si="11"/>
        <v>0.55000000000000004</v>
      </c>
      <c r="Q185" s="382" t="s">
        <v>1473</v>
      </c>
      <c r="R185" s="726"/>
      <c r="S185" s="383" t="s">
        <v>168</v>
      </c>
      <c r="T185" s="27"/>
      <c r="U185" s="81"/>
      <c r="V185" s="82"/>
      <c r="W185" s="81"/>
      <c r="X185" s="63"/>
      <c r="Y185" s="139"/>
      <c r="Z185" s="131"/>
      <c r="AA185" s="140"/>
      <c r="AB185" s="141"/>
      <c r="AC185" s="141"/>
    </row>
    <row r="186" spans="1:29" ht="20.25" customHeight="1">
      <c r="A186" s="359" t="s">
        <v>20</v>
      </c>
      <c r="B186" s="186"/>
      <c r="C186" s="188"/>
      <c r="D186" s="249" t="s">
        <v>625</v>
      </c>
      <c r="E186" s="124" t="s">
        <v>1430</v>
      </c>
      <c r="F186" s="319">
        <v>43336</v>
      </c>
      <c r="G186" s="627"/>
      <c r="H186" s="631"/>
      <c r="I186" s="632"/>
      <c r="J186" s="718" t="s">
        <v>1445</v>
      </c>
      <c r="K186" s="125" t="s">
        <v>1446</v>
      </c>
      <c r="L186" s="125" t="s">
        <v>1442</v>
      </c>
      <c r="M186" s="514">
        <v>0.55000000000000004</v>
      </c>
      <c r="N186" s="127" t="s">
        <v>17</v>
      </c>
      <c r="O186" s="235"/>
      <c r="P186" s="90">
        <f t="shared" si="11"/>
        <v>0.55000000000000004</v>
      </c>
      <c r="Q186" s="382" t="s">
        <v>1473</v>
      </c>
      <c r="R186" s="726"/>
      <c r="S186" s="383" t="s">
        <v>168</v>
      </c>
      <c r="T186" s="27"/>
      <c r="U186" s="81"/>
      <c r="V186" s="82"/>
      <c r="W186" s="81"/>
      <c r="X186" s="63"/>
      <c r="Y186" s="139"/>
      <c r="Z186" s="131"/>
      <c r="AA186" s="140"/>
      <c r="AB186" s="141"/>
      <c r="AC186" s="141"/>
    </row>
    <row r="187" spans="1:29" ht="20.25" customHeight="1">
      <c r="A187" s="359" t="s">
        <v>20</v>
      </c>
      <c r="B187" s="186"/>
      <c r="C187" s="188"/>
      <c r="D187" s="249" t="s">
        <v>625</v>
      </c>
      <c r="E187" s="124" t="s">
        <v>1431</v>
      </c>
      <c r="F187" s="319">
        <v>43336</v>
      </c>
      <c r="G187" s="627"/>
      <c r="H187" s="631"/>
      <c r="I187" s="632"/>
      <c r="J187" s="718" t="s">
        <v>1447</v>
      </c>
      <c r="K187" s="125" t="s">
        <v>1448</v>
      </c>
      <c r="L187" s="125" t="s">
        <v>1442</v>
      </c>
      <c r="M187" s="514">
        <v>0.55000000000000004</v>
      </c>
      <c r="N187" s="127" t="s">
        <v>17</v>
      </c>
      <c r="O187" s="235"/>
      <c r="P187" s="90">
        <f t="shared" si="11"/>
        <v>0.55000000000000004</v>
      </c>
      <c r="Q187" s="382" t="s">
        <v>1473</v>
      </c>
      <c r="R187" s="726"/>
      <c r="S187" s="383" t="s">
        <v>168</v>
      </c>
      <c r="T187" s="27"/>
      <c r="U187" s="81"/>
      <c r="V187" s="82"/>
      <c r="W187" s="81"/>
      <c r="X187" s="63"/>
      <c r="Y187" s="139"/>
      <c r="Z187" s="131"/>
      <c r="AA187" s="140"/>
      <c r="AB187" s="141"/>
      <c r="AC187" s="141"/>
    </row>
    <row r="188" spans="1:29" ht="20.25" customHeight="1">
      <c r="A188" s="359" t="s">
        <v>28</v>
      </c>
      <c r="C188" s="76"/>
      <c r="D188" s="249" t="s">
        <v>625</v>
      </c>
      <c r="E188" s="124" t="s">
        <v>344</v>
      </c>
      <c r="F188" s="310">
        <v>43122</v>
      </c>
      <c r="G188" s="635"/>
      <c r="H188" s="636"/>
      <c r="I188" s="632"/>
      <c r="J188" s="506" t="s">
        <v>393</v>
      </c>
      <c r="K188" s="125" t="s">
        <v>345</v>
      </c>
      <c r="L188" s="133" t="s">
        <v>129</v>
      </c>
      <c r="M188" s="368">
        <v>1</v>
      </c>
      <c r="N188" s="171" t="s">
        <v>17</v>
      </c>
      <c r="O188" s="18"/>
      <c r="P188" s="90">
        <f t="shared" si="11"/>
        <v>1</v>
      </c>
      <c r="Q188" s="235"/>
      <c r="R188" s="726"/>
      <c r="S188" s="288" t="s">
        <v>168</v>
      </c>
      <c r="T188" s="35"/>
      <c r="U188" s="1"/>
      <c r="V188" s="50"/>
      <c r="W188" s="50"/>
      <c r="X188" s="60"/>
      <c r="Y188" s="60"/>
      <c r="Z188" s="61"/>
      <c r="AA188" s="62"/>
      <c r="AB188" s="144"/>
      <c r="AC188" s="117"/>
    </row>
    <row r="189" spans="1:29" s="168" customFormat="1" ht="21.75" customHeight="1">
      <c r="A189" s="359" t="s">
        <v>28</v>
      </c>
      <c r="B189" s="157"/>
      <c r="C189" s="158"/>
      <c r="D189" s="249" t="s">
        <v>877</v>
      </c>
      <c r="E189" s="124" t="s">
        <v>2197</v>
      </c>
      <c r="F189" s="320" t="s">
        <v>2198</v>
      </c>
      <c r="G189" s="625"/>
      <c r="H189" s="626"/>
      <c r="I189" s="624" t="s">
        <v>2322</v>
      </c>
      <c r="J189" s="506" t="s">
        <v>2199</v>
      </c>
      <c r="K189" s="125" t="s">
        <v>2200</v>
      </c>
      <c r="L189" s="133" t="s">
        <v>2201</v>
      </c>
      <c r="M189" s="370">
        <v>12</v>
      </c>
      <c r="N189" s="127" t="s">
        <v>17</v>
      </c>
      <c r="O189" s="235"/>
      <c r="P189" s="90">
        <f t="shared" si="11"/>
        <v>12</v>
      </c>
      <c r="Q189" s="283"/>
      <c r="R189" s="726"/>
      <c r="S189" s="383" t="s">
        <v>168</v>
      </c>
      <c r="T189" s="159"/>
      <c r="U189" s="160"/>
      <c r="V189" s="512"/>
      <c r="W189" s="160"/>
      <c r="X189" s="163"/>
      <c r="Y189" s="163"/>
      <c r="Z189" s="164"/>
      <c r="AA189" s="165"/>
      <c r="AB189" s="166"/>
      <c r="AC189" s="167"/>
    </row>
    <row r="190" spans="1:29" s="1" customFormat="1" ht="20.25" customHeight="1">
      <c r="A190" s="359" t="s">
        <v>28</v>
      </c>
      <c r="B190"/>
      <c r="C190" s="76"/>
      <c r="D190" s="249" t="s">
        <v>460</v>
      </c>
      <c r="E190" s="124" t="s">
        <v>30</v>
      </c>
      <c r="F190" s="323">
        <v>43419</v>
      </c>
      <c r="G190" s="627"/>
      <c r="H190" s="627"/>
      <c r="I190" s="628"/>
      <c r="J190" s="517" t="s">
        <v>30</v>
      </c>
      <c r="K190" s="125" t="s">
        <v>1710</v>
      </c>
      <c r="L190" s="3"/>
      <c r="M190" s="369">
        <v>1</v>
      </c>
      <c r="N190" s="236" t="s">
        <v>268</v>
      </c>
      <c r="O190" s="235"/>
      <c r="P190" s="90">
        <f t="shared" si="11"/>
        <v>1</v>
      </c>
      <c r="Q190" s="328"/>
      <c r="R190" s="726"/>
      <c r="S190" s="288" t="s">
        <v>168</v>
      </c>
      <c r="T190" s="27"/>
      <c r="U190" s="8"/>
      <c r="V190" s="742"/>
      <c r="W190" s="745"/>
      <c r="X190" s="63">
        <v>16.350000000000001</v>
      </c>
      <c r="Y190" s="63"/>
      <c r="Z190" s="64"/>
      <c r="AA190" s="65"/>
      <c r="AB190"/>
      <c r="AC190"/>
    </row>
    <row r="191" spans="1:29" s="45" customFormat="1" ht="20.25" customHeight="1">
      <c r="A191" s="359" t="s">
        <v>20</v>
      </c>
      <c r="B191" s="58"/>
      <c r="C191" s="76" t="str">
        <f>K$2</f>
        <v>10/08/2019</v>
      </c>
      <c r="D191" s="261" t="s">
        <v>809</v>
      </c>
      <c r="E191" s="262"/>
      <c r="F191" s="322"/>
      <c r="G191" s="627"/>
      <c r="H191" s="631"/>
      <c r="I191" s="624"/>
      <c r="J191" s="516" t="s">
        <v>1211</v>
      </c>
      <c r="K191" s="258" t="s">
        <v>546</v>
      </c>
      <c r="L191" s="354" t="s">
        <v>1212</v>
      </c>
      <c r="M191" s="371">
        <v>1</v>
      </c>
      <c r="N191" s="263" t="s">
        <v>268</v>
      </c>
      <c r="O191" s="235"/>
      <c r="P191" s="90">
        <f t="shared" si="11"/>
        <v>1</v>
      </c>
      <c r="Q191" s="329"/>
      <c r="R191" s="726"/>
      <c r="S191" s="337" t="s">
        <v>168</v>
      </c>
      <c r="T191" s="54"/>
      <c r="U191" s="73"/>
      <c r="V191" s="344"/>
      <c r="W191" s="351"/>
      <c r="X191" s="66"/>
      <c r="Y191" s="66"/>
      <c r="Z191" s="67"/>
      <c r="AA191" s="68"/>
      <c r="AB191" s="142"/>
      <c r="AC191" s="117"/>
    </row>
    <row r="192" spans="1:29" s="141" customFormat="1" ht="21.75" customHeight="1">
      <c r="A192" s="377" t="s">
        <v>28</v>
      </c>
      <c r="C192" s="122"/>
      <c r="D192" s="169" t="s">
        <v>552</v>
      </c>
      <c r="E192" s="124" t="s">
        <v>30</v>
      </c>
      <c r="F192" s="323"/>
      <c r="G192" s="627"/>
      <c r="H192" s="627"/>
      <c r="I192" s="628"/>
      <c r="J192" s="517" t="s">
        <v>30</v>
      </c>
      <c r="K192" s="125" t="s">
        <v>989</v>
      </c>
      <c r="L192" s="125"/>
      <c r="M192" s="128">
        <v>1</v>
      </c>
      <c r="N192" s="127" t="s">
        <v>268</v>
      </c>
      <c r="O192" s="235"/>
      <c r="P192" s="90">
        <f t="shared" si="11"/>
        <v>1</v>
      </c>
      <c r="Q192" s="382"/>
      <c r="R192" s="726"/>
      <c r="S192" s="383" t="s">
        <v>168</v>
      </c>
      <c r="T192" s="136"/>
      <c r="U192" s="152"/>
      <c r="V192" s="174"/>
      <c r="W192" s="152"/>
      <c r="X192" s="139"/>
      <c r="Y192" s="139"/>
      <c r="Z192" s="131"/>
      <c r="AA192" s="140"/>
    </row>
    <row r="193" spans="1:29" s="168" customFormat="1" ht="21.75" customHeight="1">
      <c r="A193" s="359" t="s">
        <v>28</v>
      </c>
      <c r="B193" s="157"/>
      <c r="C193" s="158"/>
      <c r="D193" s="249" t="s">
        <v>859</v>
      </c>
      <c r="E193" s="124" t="s">
        <v>1721</v>
      </c>
      <c r="F193" s="320">
        <v>43662</v>
      </c>
      <c r="G193" s="625"/>
      <c r="H193" s="626"/>
      <c r="I193" s="624" t="s">
        <v>2348</v>
      </c>
      <c r="J193" s="506" t="s">
        <v>1723</v>
      </c>
      <c r="K193" s="125" t="s">
        <v>1724</v>
      </c>
      <c r="L193" s="133" t="s">
        <v>1395</v>
      </c>
      <c r="M193" s="714">
        <v>9</v>
      </c>
      <c r="N193" s="127" t="s">
        <v>17</v>
      </c>
      <c r="O193" s="235"/>
      <c r="P193" s="90">
        <f t="shared" ref="P193" si="13">IF(O193="",M193,M193-O193)</f>
        <v>9</v>
      </c>
      <c r="Q193" s="326"/>
      <c r="R193" s="726"/>
      <c r="S193" s="383">
        <v>44317</v>
      </c>
      <c r="T193" s="159"/>
      <c r="U193" s="160"/>
      <c r="V193" s="512"/>
      <c r="W193" s="160"/>
      <c r="X193" s="163"/>
      <c r="Y193" s="163"/>
      <c r="Z193" s="164"/>
      <c r="AA193" s="165"/>
      <c r="AB193" s="166"/>
      <c r="AC193" s="167"/>
    </row>
    <row r="194" spans="1:29" s="168" customFormat="1" ht="18.75" customHeight="1">
      <c r="A194" s="377" t="s">
        <v>218</v>
      </c>
      <c r="B194" s="157"/>
      <c r="C194" s="158"/>
      <c r="D194" s="249" t="s">
        <v>859</v>
      </c>
      <c r="E194" s="124" t="s">
        <v>1374</v>
      </c>
      <c r="F194" s="320">
        <v>43398</v>
      </c>
      <c r="G194" s="625"/>
      <c r="H194" s="626"/>
      <c r="I194" s="632"/>
      <c r="J194" s="506" t="s">
        <v>1375</v>
      </c>
      <c r="K194" s="125"/>
      <c r="L194" s="133" t="s">
        <v>1376</v>
      </c>
      <c r="M194" s="370">
        <v>2</v>
      </c>
      <c r="N194" s="127" t="s">
        <v>17</v>
      </c>
      <c r="O194" s="235"/>
      <c r="P194" s="90">
        <f t="shared" si="11"/>
        <v>2</v>
      </c>
      <c r="Q194" s="283"/>
      <c r="R194" s="726"/>
      <c r="S194" s="383" t="s">
        <v>168</v>
      </c>
      <c r="T194" s="159"/>
      <c r="U194" s="160"/>
      <c r="V194" s="161"/>
      <c r="W194" s="162"/>
      <c r="X194" s="163"/>
      <c r="Y194" s="163"/>
      <c r="Z194" s="164"/>
      <c r="AA194" s="165"/>
      <c r="AB194" s="166"/>
      <c r="AC194" s="167"/>
    </row>
    <row r="195" spans="1:29" ht="19.5" customHeight="1">
      <c r="A195" s="359" t="s">
        <v>20</v>
      </c>
      <c r="D195" s="249" t="s">
        <v>859</v>
      </c>
      <c r="E195" s="149" t="s">
        <v>40</v>
      </c>
      <c r="F195" s="321">
        <v>40932</v>
      </c>
      <c r="G195" s="625"/>
      <c r="H195" s="626"/>
      <c r="I195" s="632"/>
      <c r="J195" s="515" t="s">
        <v>771</v>
      </c>
      <c r="K195" s="285" t="s">
        <v>38</v>
      </c>
      <c r="L195" s="290" t="s">
        <v>1214</v>
      </c>
      <c r="M195" s="370">
        <v>4</v>
      </c>
      <c r="N195" s="259" t="s">
        <v>1134</v>
      </c>
      <c r="O195" s="563"/>
      <c r="P195" s="90">
        <f t="shared" si="11"/>
        <v>4</v>
      </c>
      <c r="Q195" s="495"/>
      <c r="R195" s="726"/>
      <c r="S195" s="288" t="s">
        <v>168</v>
      </c>
      <c r="T195" s="72"/>
      <c r="U195" s="81"/>
      <c r="V195" s="82"/>
      <c r="W195" s="81"/>
      <c r="X195" s="60"/>
      <c r="Y195" s="60"/>
      <c r="Z195" s="83"/>
      <c r="AA195" s="62"/>
      <c r="AB195" s="142"/>
      <c r="AC195" s="117"/>
    </row>
    <row r="196" spans="1:29" s="1" customFormat="1" ht="20.25" customHeight="1">
      <c r="A196" s="359" t="s">
        <v>20</v>
      </c>
      <c r="B196"/>
      <c r="C196" s="76"/>
      <c r="D196" s="249" t="s">
        <v>859</v>
      </c>
      <c r="E196" s="233" t="s">
        <v>310</v>
      </c>
      <c r="F196" s="319" t="s">
        <v>1738</v>
      </c>
      <c r="G196" s="627"/>
      <c r="H196" s="631"/>
      <c r="I196" s="632"/>
      <c r="J196" s="519" t="s">
        <v>311</v>
      </c>
      <c r="K196" s="234" t="s">
        <v>312</v>
      </c>
      <c r="L196" s="3" t="s">
        <v>313</v>
      </c>
      <c r="M196" s="369">
        <v>1</v>
      </c>
      <c r="N196" s="236" t="s">
        <v>17</v>
      </c>
      <c r="O196" s="235"/>
      <c r="P196" s="90">
        <f t="shared" si="11"/>
        <v>1</v>
      </c>
      <c r="Q196" s="328"/>
      <c r="R196" s="726"/>
      <c r="S196" s="288" t="s">
        <v>1751</v>
      </c>
      <c r="T196" s="27"/>
      <c r="U196" s="8"/>
      <c r="V196" s="121"/>
      <c r="W196" s="8"/>
      <c r="X196" s="63"/>
      <c r="Y196" s="63"/>
      <c r="Z196" s="64"/>
      <c r="AA196" s="65"/>
      <c r="AB196"/>
      <c r="AC196"/>
    </row>
    <row r="197" spans="1:29" ht="20.25">
      <c r="A197" s="359" t="s">
        <v>52</v>
      </c>
      <c r="B197" s="186"/>
      <c r="C197" s="188"/>
      <c r="D197" s="249" t="s">
        <v>859</v>
      </c>
      <c r="E197" s="124" t="s">
        <v>1423</v>
      </c>
      <c r="F197" s="319">
        <v>43385</v>
      </c>
      <c r="G197" s="627"/>
      <c r="H197" s="627"/>
      <c r="I197" s="632"/>
      <c r="J197" s="718" t="s">
        <v>1424</v>
      </c>
      <c r="K197" s="125" t="s">
        <v>880</v>
      </c>
      <c r="L197" s="125" t="s">
        <v>1425</v>
      </c>
      <c r="M197" s="380">
        <v>1</v>
      </c>
      <c r="N197" s="127" t="s">
        <v>17</v>
      </c>
      <c r="O197" s="126"/>
      <c r="P197" s="90">
        <f t="shared" si="11"/>
        <v>1</v>
      </c>
      <c r="Q197" s="382"/>
      <c r="R197" s="726"/>
      <c r="S197" s="383" t="s">
        <v>168</v>
      </c>
      <c r="T197" s="27"/>
      <c r="U197" s="81"/>
      <c r="V197" s="82"/>
      <c r="W197" s="81"/>
      <c r="X197" s="63"/>
      <c r="Y197" s="139"/>
      <c r="Z197" s="131"/>
      <c r="AA197" s="140"/>
      <c r="AB197" s="141"/>
      <c r="AC197" s="141"/>
    </row>
    <row r="198" spans="1:29" ht="18" customHeight="1">
      <c r="A198" s="359" t="s">
        <v>52</v>
      </c>
      <c r="D198" s="249" t="s">
        <v>859</v>
      </c>
      <c r="E198" s="124" t="s">
        <v>629</v>
      </c>
      <c r="F198" s="321">
        <v>43557</v>
      </c>
      <c r="G198" s="625"/>
      <c r="H198" s="626"/>
      <c r="I198" s="632"/>
      <c r="J198" s="515" t="s">
        <v>1831</v>
      </c>
      <c r="K198" s="285" t="s">
        <v>1562</v>
      </c>
      <c r="L198" s="290" t="s">
        <v>1563</v>
      </c>
      <c r="M198" s="370">
        <v>20</v>
      </c>
      <c r="N198" s="150" t="s">
        <v>17</v>
      </c>
      <c r="O198" s="235">
        <v>6</v>
      </c>
      <c r="P198" s="90">
        <f t="shared" si="11"/>
        <v>14</v>
      </c>
      <c r="Q198" s="283"/>
      <c r="R198" s="752" t="s">
        <v>2300</v>
      </c>
      <c r="S198" s="288">
        <v>43831</v>
      </c>
      <c r="T198" s="72"/>
      <c r="U198" s="81"/>
      <c r="V198" s="82"/>
      <c r="W198" s="81"/>
      <c r="X198" s="60"/>
      <c r="Y198" s="60"/>
      <c r="Z198" s="83"/>
      <c r="AA198" s="62"/>
      <c r="AB198" s="115"/>
      <c r="AC198" s="117"/>
    </row>
    <row r="199" spans="1:29" s="168" customFormat="1" ht="18.75" customHeight="1">
      <c r="A199" s="359" t="s">
        <v>28</v>
      </c>
      <c r="B199" s="157"/>
      <c r="C199" s="158"/>
      <c r="D199" s="249" t="s">
        <v>859</v>
      </c>
      <c r="E199" s="124" t="s">
        <v>1704</v>
      </c>
      <c r="F199" s="320">
        <v>43671</v>
      </c>
      <c r="G199" s="625"/>
      <c r="H199" s="626"/>
      <c r="I199" s="624"/>
      <c r="J199" s="506" t="s">
        <v>1705</v>
      </c>
      <c r="K199" s="125" t="s">
        <v>1147</v>
      </c>
      <c r="L199" s="133" t="s">
        <v>152</v>
      </c>
      <c r="M199" s="370">
        <v>12</v>
      </c>
      <c r="N199" s="127" t="s">
        <v>17</v>
      </c>
      <c r="O199" s="235">
        <v>8</v>
      </c>
      <c r="P199" s="90">
        <f t="shared" si="11"/>
        <v>4</v>
      </c>
      <c r="Q199" s="526"/>
      <c r="R199" s="726" t="s">
        <v>2285</v>
      </c>
      <c r="S199" s="277">
        <v>44167</v>
      </c>
      <c r="T199" s="159"/>
      <c r="U199" s="160"/>
      <c r="V199" s="161"/>
      <c r="W199" s="162"/>
      <c r="X199" s="163"/>
      <c r="Y199" s="163"/>
      <c r="Z199" s="164"/>
      <c r="AA199" s="165"/>
      <c r="AB199" s="166"/>
      <c r="AC199" s="167"/>
    </row>
    <row r="200" spans="1:29" s="141" customFormat="1" ht="20.25" customHeight="1">
      <c r="A200" s="377" t="s">
        <v>20</v>
      </c>
      <c r="B200" s="186"/>
      <c r="C200" s="188"/>
      <c r="D200" s="249" t="s">
        <v>858</v>
      </c>
      <c r="E200" s="181" t="s">
        <v>30</v>
      </c>
      <c r="F200" s="318">
        <v>43251</v>
      </c>
      <c r="G200" s="622"/>
      <c r="H200" s="623"/>
      <c r="I200" s="624"/>
      <c r="J200" s="517" t="s">
        <v>30</v>
      </c>
      <c r="K200" s="133" t="s">
        <v>1403</v>
      </c>
      <c r="L200" s="133"/>
      <c r="M200" s="368">
        <v>1</v>
      </c>
      <c r="N200" s="127" t="s">
        <v>268</v>
      </c>
      <c r="O200" s="235"/>
      <c r="P200" s="90">
        <f t="shared" si="11"/>
        <v>1</v>
      </c>
      <c r="Q200" s="327"/>
      <c r="R200" s="726"/>
      <c r="S200" s="277" t="s">
        <v>168</v>
      </c>
      <c r="T200" s="178"/>
      <c r="U200" s="91"/>
      <c r="V200" s="182"/>
      <c r="W200" s="183"/>
      <c r="X200" s="153"/>
      <c r="Y200" s="153"/>
      <c r="Z200" s="179"/>
      <c r="AA200" s="155"/>
      <c r="AB200" s="115"/>
      <c r="AC200" s="132"/>
    </row>
    <row r="201" spans="1:29" ht="20.25" customHeight="1">
      <c r="A201" s="359" t="s">
        <v>28</v>
      </c>
      <c r="D201" s="249" t="s">
        <v>454</v>
      </c>
      <c r="E201" s="124" t="s">
        <v>846</v>
      </c>
      <c r="F201" s="321">
        <v>43672</v>
      </c>
      <c r="G201" s="625"/>
      <c r="H201" s="626"/>
      <c r="I201" s="624"/>
      <c r="J201" s="506" t="s">
        <v>443</v>
      </c>
      <c r="K201" s="125" t="s">
        <v>263</v>
      </c>
      <c r="L201" s="133" t="s">
        <v>152</v>
      </c>
      <c r="M201" s="370">
        <v>36</v>
      </c>
      <c r="N201" s="171" t="s">
        <v>17</v>
      </c>
      <c r="O201" s="235"/>
      <c r="P201" s="90">
        <f t="shared" si="11"/>
        <v>36</v>
      </c>
      <c r="Q201" s="332"/>
      <c r="R201" s="726"/>
      <c r="S201" s="288" t="s">
        <v>1896</v>
      </c>
      <c r="T201" s="27"/>
      <c r="U201" s="81"/>
      <c r="V201" s="82"/>
      <c r="W201" s="81"/>
      <c r="X201" s="60"/>
      <c r="Y201" s="60"/>
      <c r="Z201" s="83"/>
      <c r="AA201" s="62"/>
      <c r="AB201" s="142"/>
      <c r="AC201" s="117"/>
    </row>
    <row r="202" spans="1:29" s="45" customFormat="1" ht="20.25" customHeight="1">
      <c r="A202" s="359" t="s">
        <v>20</v>
      </c>
      <c r="B202" s="58"/>
      <c r="C202" s="76" t="str">
        <f>K$2</f>
        <v>10/08/2019</v>
      </c>
      <c r="D202" s="249" t="s">
        <v>580</v>
      </c>
      <c r="E202" s="181" t="s">
        <v>30</v>
      </c>
      <c r="F202" s="320"/>
      <c r="G202" s="625"/>
      <c r="H202" s="626"/>
      <c r="I202" s="624"/>
      <c r="J202" s="517" t="s">
        <v>30</v>
      </c>
      <c r="K202" s="133" t="s">
        <v>1943</v>
      </c>
      <c r="L202" s="133"/>
      <c r="M202" s="370">
        <v>1</v>
      </c>
      <c r="N202" s="135" t="s">
        <v>268</v>
      </c>
      <c r="O202" s="235"/>
      <c r="P202" s="90">
        <f t="shared" si="11"/>
        <v>1</v>
      </c>
      <c r="Q202" s="328"/>
      <c r="R202" s="726"/>
      <c r="S202" s="276" t="s">
        <v>168</v>
      </c>
      <c r="T202" s="72"/>
      <c r="U202" s="73"/>
      <c r="V202" s="702"/>
      <c r="W202" s="703"/>
      <c r="X202" s="53"/>
      <c r="Y202" s="75"/>
      <c r="Z202" s="64"/>
      <c r="AA202" s="53"/>
      <c r="AB202" s="142"/>
      <c r="AC202" s="117"/>
    </row>
    <row r="203" spans="1:29" s="168" customFormat="1" ht="20.25">
      <c r="A203" s="377" t="s">
        <v>28</v>
      </c>
      <c r="B203" s="157"/>
      <c r="C203" s="158"/>
      <c r="D203" s="249" t="s">
        <v>453</v>
      </c>
      <c r="E203" s="124" t="s">
        <v>2012</v>
      </c>
      <c r="F203" s="320" t="s">
        <v>2009</v>
      </c>
      <c r="G203" s="625"/>
      <c r="H203" s="626"/>
      <c r="I203" s="624"/>
      <c r="J203" s="506" t="s">
        <v>1670</v>
      </c>
      <c r="K203" s="125" t="s">
        <v>477</v>
      </c>
      <c r="L203" s="133" t="s">
        <v>357</v>
      </c>
      <c r="M203" s="370">
        <v>21</v>
      </c>
      <c r="N203" s="236" t="s">
        <v>17</v>
      </c>
      <c r="O203" s="126"/>
      <c r="P203" s="90">
        <f t="shared" si="11"/>
        <v>21</v>
      </c>
      <c r="Q203" s="498"/>
      <c r="R203" s="726"/>
      <c r="S203" s="277" t="s">
        <v>2013</v>
      </c>
      <c r="T203" s="159"/>
      <c r="U203" s="160"/>
      <c r="V203" s="664"/>
      <c r="W203" s="665"/>
      <c r="X203" s="163"/>
      <c r="Y203" s="163"/>
      <c r="Z203" s="164"/>
      <c r="AA203" s="165"/>
      <c r="AB203" s="166"/>
      <c r="AC203" s="167"/>
    </row>
    <row r="204" spans="1:29" ht="19.5" customHeight="1">
      <c r="A204" s="359"/>
      <c r="D204" s="249" t="s">
        <v>1421</v>
      </c>
      <c r="E204" s="124"/>
      <c r="F204" s="323"/>
      <c r="G204" s="627"/>
      <c r="H204" s="631"/>
      <c r="I204" s="624"/>
      <c r="J204" s="506" t="s">
        <v>1611</v>
      </c>
      <c r="K204" s="125" t="s">
        <v>817</v>
      </c>
      <c r="L204" s="133" t="s">
        <v>1212</v>
      </c>
      <c r="M204" s="369">
        <v>1</v>
      </c>
      <c r="N204" s="127" t="s">
        <v>268</v>
      </c>
      <c r="O204" s="235"/>
      <c r="P204" s="90">
        <f t="shared" si="11"/>
        <v>1</v>
      </c>
      <c r="Q204" s="271" t="s">
        <v>1940</v>
      </c>
      <c r="R204" s="726"/>
      <c r="S204" s="288" t="s">
        <v>168</v>
      </c>
      <c r="T204" s="54"/>
      <c r="U204" s="73"/>
      <c r="V204" s="74"/>
      <c r="W204" s="73"/>
      <c r="X204" s="66"/>
      <c r="Y204" s="66"/>
      <c r="Z204" s="67"/>
      <c r="AA204" s="68"/>
      <c r="AB204" s="142"/>
      <c r="AC204" s="117"/>
    </row>
    <row r="205" spans="1:29" s="53" customFormat="1" ht="20.25" customHeight="1">
      <c r="A205" s="359" t="s">
        <v>71</v>
      </c>
      <c r="C205" s="84"/>
      <c r="D205" s="169" t="s">
        <v>540</v>
      </c>
      <c r="E205" s="124" t="s">
        <v>679</v>
      </c>
      <c r="F205" s="323">
        <v>42878</v>
      </c>
      <c r="G205" s="627"/>
      <c r="H205" s="631"/>
      <c r="I205" s="624"/>
      <c r="J205" s="506" t="s">
        <v>680</v>
      </c>
      <c r="K205" s="125" t="s">
        <v>681</v>
      </c>
      <c r="L205" s="133" t="s">
        <v>673</v>
      </c>
      <c r="M205" s="368">
        <v>1</v>
      </c>
      <c r="N205" s="127" t="s">
        <v>674</v>
      </c>
      <c r="O205" s="235"/>
      <c r="P205" s="90">
        <f t="shared" ref="P205:P238" si="14">IF(O205="",M205,M205-O205)</f>
        <v>1</v>
      </c>
      <c r="Q205" s="271"/>
      <c r="R205" s="726"/>
      <c r="S205" s="288" t="s">
        <v>168</v>
      </c>
      <c r="T205" s="54"/>
      <c r="U205" s="81">
        <f t="shared" ref="U205:U210" ca="1" si="15">IF(F205="","",DAYS360(F205,V205))</f>
        <v>829</v>
      </c>
      <c r="V205" s="340">
        <f t="shared" ref="V205:V210" ca="1" si="16">TODAY()</f>
        <v>43720</v>
      </c>
      <c r="W205" s="349" t="e">
        <f>IF(P205=0,"",IF(D205=#REF!,"","+"))</f>
        <v>#REF!</v>
      </c>
      <c r="X205" s="66"/>
      <c r="Y205" s="66"/>
      <c r="Z205" s="67"/>
      <c r="AA205" s="68"/>
      <c r="AB205" s="142"/>
      <c r="AC205" s="117"/>
    </row>
    <row r="206" spans="1:29" ht="20.25" customHeight="1">
      <c r="A206" s="359" t="s">
        <v>71</v>
      </c>
      <c r="C206" s="84"/>
      <c r="D206" s="169" t="s">
        <v>540</v>
      </c>
      <c r="E206" s="124" t="s">
        <v>671</v>
      </c>
      <c r="F206" s="323">
        <v>42878</v>
      </c>
      <c r="G206" s="627"/>
      <c r="H206" s="631"/>
      <c r="I206" s="624"/>
      <c r="J206" s="506" t="s">
        <v>672</v>
      </c>
      <c r="K206" s="125" t="s">
        <v>684</v>
      </c>
      <c r="L206" s="133" t="s">
        <v>673</v>
      </c>
      <c r="M206" s="368">
        <v>11</v>
      </c>
      <c r="N206" s="127" t="s">
        <v>674</v>
      </c>
      <c r="O206" s="235"/>
      <c r="P206" s="90">
        <f t="shared" si="14"/>
        <v>11</v>
      </c>
      <c r="Q206" s="271"/>
      <c r="R206" s="726"/>
      <c r="S206" s="288" t="s">
        <v>168</v>
      </c>
      <c r="T206" s="54"/>
      <c r="U206" s="81">
        <f t="shared" ca="1" si="15"/>
        <v>829</v>
      </c>
      <c r="V206" s="82">
        <f t="shared" ca="1" si="16"/>
        <v>43720</v>
      </c>
      <c r="W206" s="81" t="e">
        <f>IF(P206=0,"",IF(D206=#REF!,"","+"))</f>
        <v>#REF!</v>
      </c>
      <c r="X206" s="66"/>
      <c r="Y206" s="66"/>
      <c r="Z206" s="67"/>
      <c r="AA206" s="68"/>
      <c r="AB206" s="142"/>
      <c r="AC206" s="117"/>
    </row>
    <row r="207" spans="1:29" s="91" customFormat="1" ht="20.25" customHeight="1">
      <c r="A207" s="359" t="s">
        <v>71</v>
      </c>
      <c r="B207" s="156"/>
      <c r="C207" s="176" t="str">
        <f>K$2</f>
        <v>10/08/2019</v>
      </c>
      <c r="D207" s="169" t="s">
        <v>540</v>
      </c>
      <c r="E207" s="124" t="s">
        <v>682</v>
      </c>
      <c r="F207" s="323">
        <v>42878</v>
      </c>
      <c r="G207" s="627"/>
      <c r="H207" s="631"/>
      <c r="I207" s="624"/>
      <c r="J207" s="506" t="s">
        <v>683</v>
      </c>
      <c r="K207" s="125" t="s">
        <v>687</v>
      </c>
      <c r="L207" s="133" t="s">
        <v>673</v>
      </c>
      <c r="M207" s="368">
        <v>6</v>
      </c>
      <c r="N207" s="127" t="s">
        <v>674</v>
      </c>
      <c r="O207" s="235"/>
      <c r="P207" s="90">
        <f t="shared" si="14"/>
        <v>6</v>
      </c>
      <c r="Q207" s="271"/>
      <c r="R207" s="726"/>
      <c r="S207" s="288" t="s">
        <v>168</v>
      </c>
      <c r="T207" s="54"/>
      <c r="U207" s="81">
        <f t="shared" ca="1" si="15"/>
        <v>829</v>
      </c>
      <c r="V207" s="82">
        <f t="shared" ca="1" si="16"/>
        <v>43720</v>
      </c>
      <c r="W207" s="81" t="e">
        <f>IF(P207=0,"",IF(D207=#REF!,"","+"))</f>
        <v>#REF!</v>
      </c>
      <c r="X207" s="66"/>
      <c r="Y207" s="66"/>
      <c r="Z207" s="67"/>
      <c r="AA207" s="68"/>
      <c r="AB207" s="142"/>
      <c r="AC207" s="117"/>
    </row>
    <row r="208" spans="1:29" s="53" customFormat="1" ht="20.25" customHeight="1">
      <c r="A208" s="359" t="s">
        <v>71</v>
      </c>
      <c r="C208" s="84"/>
      <c r="D208" s="169" t="s">
        <v>540</v>
      </c>
      <c r="E208" s="124" t="s">
        <v>685</v>
      </c>
      <c r="F208" s="323">
        <v>42878</v>
      </c>
      <c r="G208" s="627"/>
      <c r="H208" s="631"/>
      <c r="I208" s="624"/>
      <c r="J208" s="506" t="s">
        <v>686</v>
      </c>
      <c r="K208" s="125" t="s">
        <v>688</v>
      </c>
      <c r="L208" s="133" t="s">
        <v>673</v>
      </c>
      <c r="M208" s="368">
        <v>10</v>
      </c>
      <c r="N208" s="127" t="s">
        <v>674</v>
      </c>
      <c r="O208" s="235"/>
      <c r="P208" s="90">
        <f t="shared" si="14"/>
        <v>10</v>
      </c>
      <c r="Q208" s="271"/>
      <c r="R208" s="726"/>
      <c r="S208" s="288" t="s">
        <v>168</v>
      </c>
      <c r="T208" s="54"/>
      <c r="U208" s="81">
        <f t="shared" ca="1" si="15"/>
        <v>829</v>
      </c>
      <c r="V208" s="340">
        <f t="shared" ca="1" si="16"/>
        <v>43720</v>
      </c>
      <c r="W208" s="349" t="str">
        <f>IF(P208=0,"",IF(D208=D207,"","+"))</f>
        <v/>
      </c>
      <c r="X208" s="66"/>
      <c r="Y208" s="66"/>
      <c r="Z208" s="67"/>
      <c r="AA208" s="68"/>
      <c r="AB208" s="142"/>
      <c r="AC208" s="117"/>
    </row>
    <row r="209" spans="1:38" s="91" customFormat="1" ht="20.25" customHeight="1">
      <c r="A209" s="359" t="s">
        <v>71</v>
      </c>
      <c r="B209" s="156"/>
      <c r="C209" s="176" t="str">
        <f>K$2</f>
        <v>10/08/2019</v>
      </c>
      <c r="D209" s="169" t="s">
        <v>540</v>
      </c>
      <c r="E209" s="124" t="s">
        <v>677</v>
      </c>
      <c r="F209" s="323">
        <v>42878</v>
      </c>
      <c r="G209" s="627"/>
      <c r="H209" s="631"/>
      <c r="I209" s="624"/>
      <c r="J209" s="506" t="s">
        <v>678</v>
      </c>
      <c r="K209" s="125" t="s">
        <v>689</v>
      </c>
      <c r="L209" s="133" t="s">
        <v>673</v>
      </c>
      <c r="M209" s="368">
        <v>9</v>
      </c>
      <c r="N209" s="127" t="s">
        <v>674</v>
      </c>
      <c r="O209" s="235"/>
      <c r="P209" s="90">
        <f t="shared" si="14"/>
        <v>9</v>
      </c>
      <c r="Q209" s="271"/>
      <c r="R209" s="726"/>
      <c r="S209" s="288" t="s">
        <v>168</v>
      </c>
      <c r="T209" s="54"/>
      <c r="U209" s="81">
        <f t="shared" ca="1" si="15"/>
        <v>829</v>
      </c>
      <c r="V209" s="82">
        <f t="shared" ca="1" si="16"/>
        <v>43720</v>
      </c>
      <c r="W209" s="81" t="str">
        <f>IF(P209=0,"",IF(D209=D208,"","+"))</f>
        <v/>
      </c>
      <c r="X209" s="66"/>
      <c r="Y209" s="66"/>
      <c r="Z209" s="67"/>
      <c r="AA209" s="68"/>
      <c r="AB209" s="142"/>
      <c r="AC209" s="117"/>
    </row>
    <row r="210" spans="1:38" s="91" customFormat="1" ht="20.25" customHeight="1">
      <c r="A210" s="359" t="s">
        <v>71</v>
      </c>
      <c r="B210" s="156"/>
      <c r="C210" s="176" t="str">
        <f>K$2</f>
        <v>10/08/2019</v>
      </c>
      <c r="D210" s="169" t="s">
        <v>540</v>
      </c>
      <c r="E210" s="124" t="s">
        <v>675</v>
      </c>
      <c r="F210" s="323">
        <v>42878</v>
      </c>
      <c r="G210" s="627"/>
      <c r="H210" s="631"/>
      <c r="I210" s="624"/>
      <c r="J210" s="506" t="s">
        <v>676</v>
      </c>
      <c r="K210" s="125" t="s">
        <v>690</v>
      </c>
      <c r="L210" s="133" t="s">
        <v>673</v>
      </c>
      <c r="M210" s="368">
        <v>11</v>
      </c>
      <c r="N210" s="127" t="s">
        <v>674</v>
      </c>
      <c r="O210" s="235"/>
      <c r="P210" s="90">
        <f t="shared" si="14"/>
        <v>11</v>
      </c>
      <c r="Q210" s="271"/>
      <c r="R210" s="726"/>
      <c r="S210" s="288" t="s">
        <v>168</v>
      </c>
      <c r="T210" s="54"/>
      <c r="U210" s="81">
        <f t="shared" ca="1" si="15"/>
        <v>829</v>
      </c>
      <c r="V210" s="340">
        <f t="shared" ca="1" si="16"/>
        <v>43720</v>
      </c>
      <c r="W210" s="349" t="e">
        <f>IF(P210=0,"",IF(D210=#REF!,"","+"))</f>
        <v>#REF!</v>
      </c>
      <c r="X210" s="66"/>
      <c r="Y210" s="66"/>
      <c r="Z210" s="67"/>
      <c r="AA210" s="68"/>
      <c r="AB210" s="142"/>
      <c r="AC210" s="117"/>
    </row>
    <row r="211" spans="1:38" s="1" customFormat="1" ht="20.25" customHeight="1">
      <c r="A211" s="359" t="s">
        <v>20</v>
      </c>
      <c r="B211" s="10"/>
      <c r="C211" s="76"/>
      <c r="D211" s="169" t="s">
        <v>455</v>
      </c>
      <c r="E211" s="149" t="s">
        <v>30</v>
      </c>
      <c r="F211" s="323"/>
      <c r="G211" s="625"/>
      <c r="H211" s="626"/>
      <c r="I211" s="624"/>
      <c r="J211" s="515" t="s">
        <v>30</v>
      </c>
      <c r="K211" s="285" t="s">
        <v>1942</v>
      </c>
      <c r="L211" s="290"/>
      <c r="M211" s="370">
        <v>1</v>
      </c>
      <c r="N211" s="177" t="s">
        <v>268</v>
      </c>
      <c r="O211" s="235"/>
      <c r="P211" s="90">
        <f t="shared" si="14"/>
        <v>1</v>
      </c>
      <c r="Q211" s="271"/>
      <c r="R211" s="726"/>
      <c r="S211" s="288" t="s">
        <v>168</v>
      </c>
      <c r="T211" s="72"/>
      <c r="U211" s="81"/>
      <c r="V211" s="82"/>
      <c r="W211" s="81"/>
      <c r="X211" s="60"/>
      <c r="Y211" s="60"/>
      <c r="Z211" s="83"/>
      <c r="AA211" s="62"/>
      <c r="AB211" s="142"/>
      <c r="AC211" s="117"/>
    </row>
    <row r="212" spans="1:38" ht="20.25" customHeight="1">
      <c r="A212" s="359" t="s">
        <v>20</v>
      </c>
      <c r="C212" s="84" t="str">
        <f>K$2</f>
        <v>10/08/2019</v>
      </c>
      <c r="D212" s="261" t="s">
        <v>455</v>
      </c>
      <c r="E212" s="262"/>
      <c r="F212" s="322"/>
      <c r="G212" s="627"/>
      <c r="H212" s="631"/>
      <c r="I212" s="624"/>
      <c r="J212" s="516" t="s">
        <v>1211</v>
      </c>
      <c r="K212" s="258" t="s">
        <v>546</v>
      </c>
      <c r="L212" s="354" t="s">
        <v>1212</v>
      </c>
      <c r="M212" s="371">
        <v>1</v>
      </c>
      <c r="N212" s="263" t="s">
        <v>268</v>
      </c>
      <c r="O212" s="235"/>
      <c r="P212" s="90">
        <f t="shared" si="14"/>
        <v>1</v>
      </c>
      <c r="Q212" s="329"/>
      <c r="R212" s="726"/>
      <c r="S212" s="337" t="s">
        <v>168</v>
      </c>
      <c r="T212" s="54"/>
      <c r="U212" s="73"/>
      <c r="V212" s="344"/>
      <c r="W212" s="351"/>
      <c r="X212" s="66"/>
      <c r="Y212" s="66"/>
      <c r="Z212" s="67"/>
      <c r="AA212" s="68"/>
      <c r="AB212" s="142"/>
      <c r="AC212" s="117"/>
    </row>
    <row r="213" spans="1:38" ht="19.5" customHeight="1">
      <c r="A213" s="359" t="s">
        <v>28</v>
      </c>
      <c r="D213" s="169" t="s">
        <v>641</v>
      </c>
      <c r="E213" s="181" t="s">
        <v>30</v>
      </c>
      <c r="F213" s="318"/>
      <c r="G213" s="622"/>
      <c r="H213" s="623"/>
      <c r="I213" s="624"/>
      <c r="J213" s="517" t="s">
        <v>30</v>
      </c>
      <c r="K213" s="133" t="s">
        <v>1944</v>
      </c>
      <c r="L213" s="133"/>
      <c r="M213" s="368">
        <v>1</v>
      </c>
      <c r="N213" s="171" t="s">
        <v>268</v>
      </c>
      <c r="O213" s="235"/>
      <c r="P213" s="90">
        <f t="shared" si="14"/>
        <v>1</v>
      </c>
      <c r="Q213" s="326"/>
      <c r="R213" s="726"/>
      <c r="S213" s="277" t="s">
        <v>168</v>
      </c>
      <c r="T213" s="42"/>
      <c r="U213" s="45"/>
      <c r="V213" s="50"/>
      <c r="W213" s="50"/>
      <c r="X213" s="60"/>
      <c r="Y213" s="60"/>
      <c r="Z213" s="61"/>
      <c r="AA213" s="62"/>
      <c r="AB213" s="142"/>
      <c r="AC213" s="117"/>
    </row>
    <row r="214" spans="1:38" s="58" customFormat="1" ht="21" customHeight="1">
      <c r="A214" s="359" t="s">
        <v>20</v>
      </c>
      <c r="B214" s="79"/>
      <c r="C214" s="80" t="str">
        <f>K$2</f>
        <v>10/08/2019</v>
      </c>
      <c r="D214" s="169" t="s">
        <v>834</v>
      </c>
      <c r="E214" s="181" t="s">
        <v>30</v>
      </c>
      <c r="F214" s="318"/>
      <c r="G214" s="622"/>
      <c r="H214" s="623"/>
      <c r="I214" s="624"/>
      <c r="J214" s="517" t="s">
        <v>30</v>
      </c>
      <c r="K214" s="133" t="s">
        <v>1945</v>
      </c>
      <c r="L214" s="133"/>
      <c r="M214" s="368">
        <v>1</v>
      </c>
      <c r="N214" s="171" t="s">
        <v>268</v>
      </c>
      <c r="O214" s="235"/>
      <c r="P214" s="90">
        <f t="shared" si="14"/>
        <v>1</v>
      </c>
      <c r="Q214" s="326"/>
      <c r="R214" s="726"/>
      <c r="S214" s="277" t="s">
        <v>168</v>
      </c>
      <c r="T214" s="42"/>
      <c r="U214" s="45"/>
      <c r="V214" s="32"/>
      <c r="W214" s="33"/>
      <c r="X214" s="60"/>
      <c r="Y214" s="60"/>
      <c r="Z214" s="61"/>
      <c r="AA214" s="62"/>
      <c r="AB214" s="142"/>
      <c r="AC214" s="117"/>
    </row>
    <row r="215" spans="1:38" s="58" customFormat="1" ht="21" customHeight="1">
      <c r="A215" s="359" t="s">
        <v>20</v>
      </c>
      <c r="B215" s="79"/>
      <c r="C215" s="80"/>
      <c r="D215" s="169" t="s">
        <v>497</v>
      </c>
      <c r="E215" s="181" t="s">
        <v>30</v>
      </c>
      <c r="F215" s="318"/>
      <c r="G215" s="622"/>
      <c r="H215" s="623"/>
      <c r="I215" s="624"/>
      <c r="J215" s="517" t="s">
        <v>30</v>
      </c>
      <c r="K215" s="133" t="s">
        <v>1946</v>
      </c>
      <c r="L215" s="133"/>
      <c r="M215" s="368">
        <v>1</v>
      </c>
      <c r="N215" s="171" t="s">
        <v>268</v>
      </c>
      <c r="O215" s="235"/>
      <c r="P215" s="90">
        <f t="shared" si="14"/>
        <v>1</v>
      </c>
      <c r="Q215" s="326"/>
      <c r="R215" s="726"/>
      <c r="S215" s="277" t="s">
        <v>168</v>
      </c>
      <c r="T215" s="42"/>
      <c r="U215" s="45"/>
      <c r="V215" s="32"/>
      <c r="W215" s="33"/>
      <c r="X215" s="60"/>
      <c r="Y215" s="60"/>
      <c r="Z215" s="61"/>
      <c r="AA215" s="62"/>
      <c r="AB215" s="142"/>
      <c r="AC215" s="117"/>
    </row>
    <row r="216" spans="1:38" s="649" customFormat="1" ht="20.25">
      <c r="A216" s="377" t="s">
        <v>20</v>
      </c>
      <c r="B216" s="661"/>
      <c r="C216" s="662"/>
      <c r="D216" s="169" t="s">
        <v>495</v>
      </c>
      <c r="E216" s="124" t="s">
        <v>154</v>
      </c>
      <c r="F216" s="320"/>
      <c r="G216" s="625"/>
      <c r="H216" s="626"/>
      <c r="I216" s="632"/>
      <c r="J216" s="506" t="s">
        <v>403</v>
      </c>
      <c r="K216" s="125" t="s">
        <v>157</v>
      </c>
      <c r="L216" s="133" t="s">
        <v>1344</v>
      </c>
      <c r="M216" s="370">
        <v>1</v>
      </c>
      <c r="N216" s="127" t="s">
        <v>1134</v>
      </c>
      <c r="O216" s="663"/>
      <c r="P216" s="90">
        <f t="shared" ref="P216" si="17">IF(O216="",M216,M216-O216)</f>
        <v>1</v>
      </c>
      <c r="Q216" s="629" t="s">
        <v>2265</v>
      </c>
      <c r="R216" s="726"/>
      <c r="S216" s="383">
        <v>44176</v>
      </c>
      <c r="T216" s="159"/>
      <c r="U216" s="160"/>
      <c r="V216" s="664"/>
      <c r="W216" s="665"/>
      <c r="X216" s="666"/>
      <c r="Y216" s="666"/>
      <c r="Z216" s="667"/>
      <c r="AA216" s="668"/>
      <c r="AB216" s="669"/>
      <c r="AC216" s="670"/>
      <c r="AD216" s="671"/>
      <c r="AE216" s="671"/>
      <c r="AF216" s="671"/>
      <c r="AG216" s="671"/>
      <c r="AH216" s="671"/>
      <c r="AI216" s="671"/>
      <c r="AJ216" s="671"/>
      <c r="AK216" s="671"/>
      <c r="AL216" s="671"/>
    </row>
    <row r="217" spans="1:38" s="649" customFormat="1" ht="20.25">
      <c r="A217" s="377" t="s">
        <v>20</v>
      </c>
      <c r="B217" s="661"/>
      <c r="C217" s="662"/>
      <c r="D217" s="169" t="s">
        <v>495</v>
      </c>
      <c r="E217" s="124" t="s">
        <v>154</v>
      </c>
      <c r="F217" s="320"/>
      <c r="G217" s="625"/>
      <c r="H217" s="626"/>
      <c r="I217" s="632"/>
      <c r="J217" s="506" t="s">
        <v>403</v>
      </c>
      <c r="K217" s="125" t="s">
        <v>157</v>
      </c>
      <c r="L217" s="133" t="s">
        <v>1344</v>
      </c>
      <c r="M217" s="370">
        <v>1</v>
      </c>
      <c r="N217" s="127" t="s">
        <v>1134</v>
      </c>
      <c r="O217" s="663"/>
      <c r="P217" s="90">
        <f t="shared" ref="P217" si="18">IF(O217="",M217,M217-O217)</f>
        <v>1</v>
      </c>
      <c r="Q217" s="629" t="s">
        <v>2266</v>
      </c>
      <c r="R217" s="726"/>
      <c r="S217" s="383">
        <v>44176</v>
      </c>
      <c r="T217" s="159"/>
      <c r="U217" s="160"/>
      <c r="V217" s="664"/>
      <c r="W217" s="665"/>
      <c r="X217" s="666"/>
      <c r="Y217" s="666"/>
      <c r="Z217" s="667"/>
      <c r="AA217" s="668"/>
      <c r="AB217" s="669"/>
      <c r="AC217" s="670"/>
      <c r="AD217" s="671"/>
      <c r="AE217" s="671"/>
      <c r="AF217" s="671"/>
      <c r="AG217" s="671"/>
      <c r="AH217" s="671"/>
      <c r="AI217" s="671"/>
      <c r="AJ217" s="671"/>
      <c r="AK217" s="671"/>
      <c r="AL217" s="671"/>
    </row>
    <row r="218" spans="1:38" s="649" customFormat="1" ht="20.25">
      <c r="A218" s="359" t="s">
        <v>52</v>
      </c>
      <c r="B218" s="661"/>
      <c r="C218" s="662"/>
      <c r="D218" s="51" t="s">
        <v>495</v>
      </c>
      <c r="E218" s="536" t="s">
        <v>1384</v>
      </c>
      <c r="F218" s="601"/>
      <c r="G218" s="625"/>
      <c r="H218" s="626"/>
      <c r="I218" s="632"/>
      <c r="J218" s="610" t="s">
        <v>2254</v>
      </c>
      <c r="K218" s="541" t="s">
        <v>1393</v>
      </c>
      <c r="L218" s="252" t="s">
        <v>1394</v>
      </c>
      <c r="M218" s="602">
        <v>1</v>
      </c>
      <c r="N218" s="547" t="s">
        <v>17</v>
      </c>
      <c r="O218" s="537">
        <v>1</v>
      </c>
      <c r="P218" s="603">
        <f t="shared" ref="P218" si="19">IF(O218="",M218,M218-O218)</f>
        <v>0</v>
      </c>
      <c r="Q218" s="629" t="s">
        <v>2248</v>
      </c>
      <c r="R218" s="726" t="s">
        <v>2303</v>
      </c>
      <c r="S218" s="383">
        <v>43986</v>
      </c>
      <c r="T218" s="159"/>
      <c r="U218" s="160"/>
      <c r="V218" s="664"/>
      <c r="W218" s="665"/>
      <c r="X218" s="666"/>
      <c r="Y218" s="666"/>
      <c r="Z218" s="667"/>
      <c r="AA218" s="668"/>
      <c r="AB218" s="669"/>
      <c r="AC218" s="670"/>
      <c r="AD218" s="671"/>
      <c r="AE218" s="671"/>
      <c r="AF218" s="671"/>
      <c r="AG218" s="671"/>
      <c r="AH218" s="671"/>
      <c r="AI218" s="671"/>
      <c r="AJ218" s="671"/>
      <c r="AK218" s="671"/>
      <c r="AL218" s="671"/>
    </row>
    <row r="219" spans="1:38" s="649" customFormat="1" ht="20.25">
      <c r="A219" s="359" t="s">
        <v>28</v>
      </c>
      <c r="B219" s="661"/>
      <c r="C219" s="662"/>
      <c r="D219" s="169" t="s">
        <v>495</v>
      </c>
      <c r="E219" s="124" t="s">
        <v>1840</v>
      </c>
      <c r="F219" s="320">
        <v>43566</v>
      </c>
      <c r="G219" s="625"/>
      <c r="H219" s="626"/>
      <c r="I219" s="632"/>
      <c r="J219" s="506" t="s">
        <v>1841</v>
      </c>
      <c r="K219" s="125" t="s">
        <v>1015</v>
      </c>
      <c r="L219" s="133" t="s">
        <v>1842</v>
      </c>
      <c r="M219" s="370">
        <v>0.92</v>
      </c>
      <c r="N219" s="127" t="s">
        <v>17</v>
      </c>
      <c r="O219" s="663"/>
      <c r="P219" s="90">
        <f t="shared" si="14"/>
        <v>0.92</v>
      </c>
      <c r="Q219" s="629"/>
      <c r="R219" s="726"/>
      <c r="S219" s="383">
        <v>44176</v>
      </c>
      <c r="T219" s="159"/>
      <c r="U219" s="160"/>
      <c r="V219" s="664"/>
      <c r="W219" s="665"/>
      <c r="X219" s="666"/>
      <c r="Y219" s="666"/>
      <c r="Z219" s="667"/>
      <c r="AA219" s="668"/>
      <c r="AB219" s="669"/>
      <c r="AC219" s="670"/>
      <c r="AD219" s="671"/>
      <c r="AE219" s="671"/>
      <c r="AF219" s="671"/>
      <c r="AG219" s="671"/>
      <c r="AH219" s="671"/>
      <c r="AI219" s="671"/>
      <c r="AJ219" s="671"/>
      <c r="AK219" s="671"/>
      <c r="AL219" s="671"/>
    </row>
    <row r="220" spans="1:38" s="168" customFormat="1" ht="18.75" customHeight="1">
      <c r="A220" s="377" t="s">
        <v>20</v>
      </c>
      <c r="B220" s="157"/>
      <c r="C220" s="158"/>
      <c r="D220" s="169" t="s">
        <v>495</v>
      </c>
      <c r="E220" s="124" t="s">
        <v>1778</v>
      </c>
      <c r="F220" s="320">
        <v>43543</v>
      </c>
      <c r="G220" s="625"/>
      <c r="H220" s="626"/>
      <c r="I220" s="632"/>
      <c r="J220" s="718" t="s">
        <v>1779</v>
      </c>
      <c r="K220" s="125" t="s">
        <v>1114</v>
      </c>
      <c r="L220" s="133" t="s">
        <v>293</v>
      </c>
      <c r="M220" s="370">
        <v>1</v>
      </c>
      <c r="N220" s="135" t="s">
        <v>17</v>
      </c>
      <c r="O220" s="235"/>
      <c r="P220" s="90">
        <f t="shared" si="14"/>
        <v>1</v>
      </c>
      <c r="Q220" s="283"/>
      <c r="R220" s="726"/>
      <c r="S220" s="550" t="s">
        <v>1748</v>
      </c>
      <c r="T220" s="159"/>
      <c r="U220" s="160"/>
      <c r="V220" s="512"/>
      <c r="W220" s="160"/>
      <c r="X220" s="163"/>
      <c r="Y220" s="163"/>
      <c r="Z220" s="164"/>
      <c r="AA220" s="165"/>
      <c r="AB220" s="166"/>
      <c r="AC220" s="167"/>
    </row>
    <row r="221" spans="1:38" s="168" customFormat="1" ht="18.75" customHeight="1">
      <c r="A221" s="359" t="s">
        <v>20</v>
      </c>
      <c r="B221" s="157"/>
      <c r="C221" s="158"/>
      <c r="D221" s="169" t="s">
        <v>495</v>
      </c>
      <c r="E221" s="124" t="s">
        <v>1496</v>
      </c>
      <c r="F221" s="320">
        <v>43363</v>
      </c>
      <c r="G221" s="625"/>
      <c r="H221" s="626"/>
      <c r="I221" s="632"/>
      <c r="J221" s="506" t="s">
        <v>1497</v>
      </c>
      <c r="K221" s="125" t="s">
        <v>1498</v>
      </c>
      <c r="L221" s="133" t="s">
        <v>1499</v>
      </c>
      <c r="M221" s="370">
        <v>1.5</v>
      </c>
      <c r="N221" s="127" t="s">
        <v>17</v>
      </c>
      <c r="O221" s="235"/>
      <c r="P221" s="90">
        <f t="shared" si="14"/>
        <v>1.5</v>
      </c>
      <c r="Q221" s="526"/>
      <c r="R221" s="726"/>
      <c r="S221" s="277">
        <v>44388</v>
      </c>
      <c r="T221" s="159"/>
      <c r="U221" s="160"/>
      <c r="V221" s="512"/>
      <c r="W221" s="160"/>
      <c r="X221" s="163"/>
      <c r="Y221" s="163"/>
      <c r="Z221" s="164"/>
      <c r="AA221" s="165"/>
      <c r="AB221" s="166"/>
      <c r="AC221" s="167"/>
    </row>
    <row r="222" spans="1:38" s="168" customFormat="1" ht="18.75" customHeight="1">
      <c r="A222" s="377" t="s">
        <v>20</v>
      </c>
      <c r="B222" s="157"/>
      <c r="C222" s="158"/>
      <c r="D222" s="169" t="s">
        <v>495</v>
      </c>
      <c r="E222" s="124" t="s">
        <v>418</v>
      </c>
      <c r="F222" s="320">
        <v>43417</v>
      </c>
      <c r="G222" s="625"/>
      <c r="H222" s="626"/>
      <c r="I222" s="632"/>
      <c r="J222" s="506" t="s">
        <v>135</v>
      </c>
      <c r="K222" s="125" t="s">
        <v>221</v>
      </c>
      <c r="L222" s="133" t="s">
        <v>11</v>
      </c>
      <c r="M222" s="370">
        <v>3</v>
      </c>
      <c r="N222" s="236" t="s">
        <v>17</v>
      </c>
      <c r="O222" s="235"/>
      <c r="P222" s="90">
        <f t="shared" si="14"/>
        <v>3</v>
      </c>
      <c r="Q222" s="283"/>
      <c r="R222" s="726"/>
      <c r="S222" s="277">
        <v>43708</v>
      </c>
      <c r="T222" s="159"/>
      <c r="U222" s="160"/>
      <c r="V222" s="161"/>
      <c r="W222" s="162"/>
      <c r="X222" s="163"/>
      <c r="Y222" s="163"/>
      <c r="Z222" s="164"/>
      <c r="AA222" s="165"/>
      <c r="AB222" s="166"/>
      <c r="AC222" s="167"/>
    </row>
    <row r="223" spans="1:38" s="168" customFormat="1" ht="18.75" customHeight="1">
      <c r="A223" s="377" t="s">
        <v>20</v>
      </c>
      <c r="B223" s="157"/>
      <c r="C223" s="158"/>
      <c r="D223" s="169" t="s">
        <v>495</v>
      </c>
      <c r="E223" s="124" t="s">
        <v>1478</v>
      </c>
      <c r="F223" s="320">
        <v>43417</v>
      </c>
      <c r="G223" s="625"/>
      <c r="H223" s="626"/>
      <c r="I223" s="632"/>
      <c r="J223" s="506" t="s">
        <v>1477</v>
      </c>
      <c r="K223" s="125" t="s">
        <v>1476</v>
      </c>
      <c r="L223" s="133" t="s">
        <v>152</v>
      </c>
      <c r="M223" s="370">
        <v>9</v>
      </c>
      <c r="N223" s="127" t="s">
        <v>17</v>
      </c>
      <c r="O223" s="235"/>
      <c r="P223" s="90">
        <f t="shared" si="14"/>
        <v>9</v>
      </c>
      <c r="Q223" s="283"/>
      <c r="R223" s="726"/>
      <c r="S223" s="277">
        <v>43903</v>
      </c>
      <c r="T223" s="159"/>
      <c r="U223" s="160"/>
      <c r="V223" s="161"/>
      <c r="W223" s="162"/>
      <c r="X223" s="163"/>
      <c r="Y223" s="163"/>
      <c r="Z223" s="164"/>
      <c r="AA223" s="165"/>
      <c r="AB223" s="166"/>
      <c r="AC223" s="167"/>
    </row>
    <row r="224" spans="1:38" s="58" customFormat="1" ht="21" customHeight="1">
      <c r="A224" s="359" t="s">
        <v>28</v>
      </c>
      <c r="B224" s="79"/>
      <c r="C224" s="80"/>
      <c r="D224" s="51" t="s">
        <v>495</v>
      </c>
      <c r="E224" s="765" t="s">
        <v>1605</v>
      </c>
      <c r="F224" s="766" t="s">
        <v>1973</v>
      </c>
      <c r="G224" s="622"/>
      <c r="H224" s="623"/>
      <c r="I224" s="624"/>
      <c r="J224" s="756" t="s">
        <v>1603</v>
      </c>
      <c r="K224" s="252" t="s">
        <v>1655</v>
      </c>
      <c r="L224" s="252"/>
      <c r="M224" s="767">
        <v>1</v>
      </c>
      <c r="N224" s="760" t="s">
        <v>17</v>
      </c>
      <c r="O224" s="537">
        <v>1</v>
      </c>
      <c r="P224" s="603">
        <f t="shared" si="14"/>
        <v>0</v>
      </c>
      <c r="Q224" s="326"/>
      <c r="R224" s="726" t="s">
        <v>2294</v>
      </c>
      <c r="S224" s="277" t="s">
        <v>168</v>
      </c>
      <c r="T224" s="42"/>
      <c r="U224" s="45"/>
      <c r="V224" s="32"/>
      <c r="W224" s="33"/>
      <c r="X224" s="60"/>
      <c r="Y224" s="60"/>
      <c r="Z224" s="61"/>
      <c r="AA224" s="62"/>
      <c r="AB224" s="142"/>
      <c r="AC224" s="117"/>
    </row>
    <row r="225" spans="1:29" s="58" customFormat="1" ht="21" customHeight="1">
      <c r="A225" s="359" t="s">
        <v>20</v>
      </c>
      <c r="B225" s="79"/>
      <c r="C225" s="80"/>
      <c r="D225" s="169" t="s">
        <v>495</v>
      </c>
      <c r="E225" s="181" t="s">
        <v>1523</v>
      </c>
      <c r="F225" s="318">
        <v>43368</v>
      </c>
      <c r="G225" s="622"/>
      <c r="H225" s="623"/>
      <c r="I225" s="624"/>
      <c r="J225" s="517" t="s">
        <v>1525</v>
      </c>
      <c r="K225" s="133" t="s">
        <v>1526</v>
      </c>
      <c r="L225" s="133"/>
      <c r="M225" s="368">
        <v>1</v>
      </c>
      <c r="N225" s="171" t="s">
        <v>17</v>
      </c>
      <c r="O225" s="235"/>
      <c r="P225" s="90">
        <f t="shared" si="14"/>
        <v>1</v>
      </c>
      <c r="Q225" s="326" t="s">
        <v>1529</v>
      </c>
      <c r="R225" s="726"/>
      <c r="S225" s="277" t="s">
        <v>168</v>
      </c>
      <c r="T225" s="42"/>
      <c r="U225" s="45"/>
      <c r="V225" s="32"/>
      <c r="W225" s="33"/>
      <c r="X225" s="60"/>
      <c r="Y225" s="60"/>
      <c r="Z225" s="61"/>
      <c r="AA225" s="62"/>
      <c r="AB225" s="142"/>
      <c r="AC225" s="117"/>
    </row>
    <row r="226" spans="1:29" s="58" customFormat="1" ht="21" customHeight="1">
      <c r="A226" s="377" t="s">
        <v>20</v>
      </c>
      <c r="B226" s="79"/>
      <c r="C226" s="80"/>
      <c r="D226" s="169" t="s">
        <v>495</v>
      </c>
      <c r="E226" s="181" t="s">
        <v>153</v>
      </c>
      <c r="F226" s="318">
        <v>42993</v>
      </c>
      <c r="G226" s="622"/>
      <c r="H226" s="623"/>
      <c r="I226" s="624"/>
      <c r="J226" s="517" t="s">
        <v>821</v>
      </c>
      <c r="K226" s="133" t="s">
        <v>156</v>
      </c>
      <c r="L226" s="133" t="s">
        <v>158</v>
      </c>
      <c r="M226" s="368">
        <v>3</v>
      </c>
      <c r="N226" s="171" t="s">
        <v>17</v>
      </c>
      <c r="O226" s="235"/>
      <c r="P226" s="90">
        <f t="shared" si="14"/>
        <v>3</v>
      </c>
      <c r="Q226" s="326"/>
      <c r="R226" s="726"/>
      <c r="S226" s="277" t="s">
        <v>168</v>
      </c>
      <c r="T226" s="42"/>
      <c r="U226" s="45"/>
      <c r="V226" s="32"/>
      <c r="W226" s="33"/>
      <c r="X226" s="60"/>
      <c r="Y226" s="60"/>
      <c r="Z226" s="61">
        <v>7952</v>
      </c>
      <c r="AA226" s="62"/>
      <c r="AB226" s="142"/>
      <c r="AC226" s="117"/>
    </row>
    <row r="227" spans="1:29" s="58" customFormat="1" ht="21" customHeight="1">
      <c r="A227" s="359" t="s">
        <v>20</v>
      </c>
      <c r="B227" s="79"/>
      <c r="C227" s="80"/>
      <c r="D227" s="169" t="s">
        <v>495</v>
      </c>
      <c r="E227" s="181" t="s">
        <v>227</v>
      </c>
      <c r="F227" s="318">
        <v>42753</v>
      </c>
      <c r="G227" s="622"/>
      <c r="H227" s="623"/>
      <c r="I227" s="624"/>
      <c r="J227" s="517" t="s">
        <v>388</v>
      </c>
      <c r="K227" s="133" t="s">
        <v>248</v>
      </c>
      <c r="L227" s="133" t="s">
        <v>1185</v>
      </c>
      <c r="M227" s="368">
        <v>11</v>
      </c>
      <c r="N227" s="513" t="s">
        <v>1160</v>
      </c>
      <c r="O227" s="235"/>
      <c r="P227" s="90">
        <f t="shared" si="14"/>
        <v>11</v>
      </c>
      <c r="Q227" s="326"/>
      <c r="R227" s="726"/>
      <c r="S227" s="277" t="s">
        <v>168</v>
      </c>
      <c r="T227" s="42"/>
      <c r="U227" s="45"/>
      <c r="V227" s="32"/>
      <c r="W227" s="33"/>
      <c r="X227" s="60"/>
      <c r="Y227" s="60"/>
      <c r="Z227" s="61">
        <v>400</v>
      </c>
      <c r="AA227" s="62"/>
      <c r="AB227" s="142"/>
      <c r="AC227" s="117"/>
    </row>
    <row r="228" spans="1:29" ht="20.25" customHeight="1">
      <c r="A228" s="359" t="s">
        <v>20</v>
      </c>
      <c r="C228" s="84"/>
      <c r="D228" s="169" t="s">
        <v>495</v>
      </c>
      <c r="E228" s="233" t="s">
        <v>444</v>
      </c>
      <c r="F228" s="319">
        <v>43124</v>
      </c>
      <c r="G228" s="629"/>
      <c r="H228" s="630"/>
      <c r="I228" s="624"/>
      <c r="J228" s="517" t="s">
        <v>437</v>
      </c>
      <c r="K228" s="255" t="s">
        <v>438</v>
      </c>
      <c r="L228" s="3" t="s">
        <v>439</v>
      </c>
      <c r="M228" s="369">
        <v>1</v>
      </c>
      <c r="N228" s="236" t="s">
        <v>17</v>
      </c>
      <c r="O228" s="235"/>
      <c r="P228" s="90">
        <f t="shared" si="14"/>
        <v>1</v>
      </c>
      <c r="Q228" s="283"/>
      <c r="R228" s="726"/>
      <c r="S228" s="276">
        <v>43234</v>
      </c>
      <c r="X228" s="256"/>
      <c r="Y228" s="63"/>
      <c r="Z228" s="257"/>
      <c r="AA228" s="65"/>
      <c r="AB228"/>
      <c r="AC228"/>
    </row>
    <row r="229" spans="1:29" ht="20.25" customHeight="1">
      <c r="A229" s="359" t="s">
        <v>20</v>
      </c>
      <c r="C229" s="84"/>
      <c r="D229" s="169" t="s">
        <v>495</v>
      </c>
      <c r="E229" s="233" t="s">
        <v>903</v>
      </c>
      <c r="F229" s="319">
        <v>43124</v>
      </c>
      <c r="G229" s="629"/>
      <c r="H229" s="630"/>
      <c r="I229" s="624"/>
      <c r="J229" s="517" t="s">
        <v>904</v>
      </c>
      <c r="K229" s="255" t="s">
        <v>905</v>
      </c>
      <c r="L229" s="3" t="s">
        <v>1052</v>
      </c>
      <c r="M229" s="369">
        <v>2</v>
      </c>
      <c r="N229" s="236" t="s">
        <v>17</v>
      </c>
      <c r="O229" s="235"/>
      <c r="P229" s="90">
        <f t="shared" si="14"/>
        <v>2</v>
      </c>
      <c r="Q229" s="283"/>
      <c r="R229" s="726"/>
      <c r="S229" s="288">
        <v>43448</v>
      </c>
      <c r="X229" s="256"/>
      <c r="Y229" s="63"/>
      <c r="Z229" s="257"/>
      <c r="AA229" s="65"/>
      <c r="AB229"/>
      <c r="AC229"/>
    </row>
    <row r="230" spans="1:29" ht="20.25" customHeight="1">
      <c r="A230" s="359" t="s">
        <v>20</v>
      </c>
      <c r="D230" s="169" t="s">
        <v>495</v>
      </c>
      <c r="E230" s="233" t="s">
        <v>302</v>
      </c>
      <c r="F230" s="319">
        <v>43124</v>
      </c>
      <c r="G230" s="629"/>
      <c r="H230" s="630"/>
      <c r="I230" s="624"/>
      <c r="J230" s="517" t="s">
        <v>303</v>
      </c>
      <c r="K230" s="255" t="s">
        <v>304</v>
      </c>
      <c r="L230" s="3" t="s">
        <v>301</v>
      </c>
      <c r="M230" s="369">
        <v>1</v>
      </c>
      <c r="N230" s="236" t="s">
        <v>17</v>
      </c>
      <c r="O230" s="235"/>
      <c r="P230" s="90">
        <f t="shared" si="14"/>
        <v>1</v>
      </c>
      <c r="Q230" s="283"/>
      <c r="R230" s="726"/>
      <c r="S230" s="276">
        <v>43324</v>
      </c>
      <c r="X230" s="256"/>
      <c r="Y230" s="63"/>
      <c r="Z230" s="257"/>
      <c r="AA230" s="65"/>
      <c r="AB230"/>
      <c r="AC230"/>
    </row>
    <row r="231" spans="1:29" ht="19.5" customHeight="1">
      <c r="A231" s="359" t="s">
        <v>20</v>
      </c>
      <c r="D231" s="169" t="s">
        <v>495</v>
      </c>
      <c r="E231" s="170" t="s">
        <v>340</v>
      </c>
      <c r="F231" s="310">
        <v>42285</v>
      </c>
      <c r="G231" s="635"/>
      <c r="H231" s="636"/>
      <c r="I231" s="624"/>
      <c r="J231" s="518" t="s">
        <v>339</v>
      </c>
      <c r="K231" s="133" t="s">
        <v>338</v>
      </c>
      <c r="L231" s="133" t="s">
        <v>1186</v>
      </c>
      <c r="M231" s="368">
        <v>3</v>
      </c>
      <c r="N231" s="171" t="s">
        <v>17</v>
      </c>
      <c r="O231" s="235"/>
      <c r="P231" s="90">
        <f t="shared" si="14"/>
        <v>3</v>
      </c>
      <c r="Q231" s="327"/>
      <c r="R231" s="726"/>
      <c r="S231" s="276">
        <v>42598</v>
      </c>
      <c r="T231" s="48"/>
      <c r="U231" s="1"/>
      <c r="V231" s="347"/>
      <c r="W231" s="1"/>
      <c r="X231" s="63"/>
      <c r="Y231" s="63"/>
      <c r="Z231" s="64">
        <v>12300</v>
      </c>
      <c r="AA231" s="65"/>
      <c r="AB231" s="142"/>
      <c r="AC231" s="117"/>
    </row>
    <row r="232" spans="1:29" ht="20.25" customHeight="1">
      <c r="A232" s="359" t="s">
        <v>20</v>
      </c>
      <c r="C232" s="84"/>
      <c r="D232" s="169" t="s">
        <v>495</v>
      </c>
      <c r="E232" s="124" t="s">
        <v>1609</v>
      </c>
      <c r="F232" s="323">
        <v>43005</v>
      </c>
      <c r="G232" s="627"/>
      <c r="H232" s="631"/>
      <c r="I232" s="624"/>
      <c r="J232" s="506" t="s">
        <v>847</v>
      </c>
      <c r="K232" s="125" t="s">
        <v>848</v>
      </c>
      <c r="L232" s="133" t="s">
        <v>849</v>
      </c>
      <c r="M232" s="368">
        <v>2</v>
      </c>
      <c r="N232" s="127" t="s">
        <v>17</v>
      </c>
      <c r="O232" s="235"/>
      <c r="P232" s="90">
        <f t="shared" si="14"/>
        <v>2</v>
      </c>
      <c r="Q232" s="325"/>
      <c r="R232" s="726"/>
      <c r="S232" s="553" t="s">
        <v>1558</v>
      </c>
      <c r="T232" s="136"/>
      <c r="U232" s="137"/>
      <c r="V232" s="343"/>
      <c r="W232" s="350"/>
      <c r="X232" s="139"/>
      <c r="Y232" s="139"/>
      <c r="Z232" s="131"/>
      <c r="AA232" s="140"/>
      <c r="AB232" s="142"/>
      <c r="AC232" s="141"/>
    </row>
    <row r="233" spans="1:29" ht="19.5" customHeight="1">
      <c r="A233" s="359" t="s">
        <v>20</v>
      </c>
      <c r="D233" s="169" t="s">
        <v>495</v>
      </c>
      <c r="E233" s="181" t="s">
        <v>353</v>
      </c>
      <c r="F233" s="320">
        <v>42382</v>
      </c>
      <c r="G233" s="625"/>
      <c r="H233" s="626"/>
      <c r="I233" s="624"/>
      <c r="J233" s="517" t="s">
        <v>369</v>
      </c>
      <c r="K233" s="133" t="s">
        <v>354</v>
      </c>
      <c r="L233" s="133"/>
      <c r="M233" s="370">
        <v>50</v>
      </c>
      <c r="N233" s="289" t="s">
        <v>1160</v>
      </c>
      <c r="O233" s="235"/>
      <c r="P233" s="90">
        <f t="shared" si="14"/>
        <v>50</v>
      </c>
      <c r="Q233" s="327"/>
      <c r="R233" s="726"/>
      <c r="S233" s="288" t="s">
        <v>168</v>
      </c>
      <c r="T233" s="136"/>
      <c r="U233" s="137"/>
      <c r="V233" s="138"/>
      <c r="W233" s="137"/>
      <c r="X233" s="139"/>
      <c r="Y233" s="139"/>
      <c r="Z233" s="131">
        <v>203</v>
      </c>
      <c r="AA233" s="140"/>
      <c r="AB233" s="115"/>
      <c r="AC233" s="132"/>
    </row>
    <row r="234" spans="1:29" ht="19.5" customHeight="1">
      <c r="A234" s="359" t="s">
        <v>20</v>
      </c>
      <c r="D234" s="249" t="s">
        <v>900</v>
      </c>
      <c r="E234" s="181" t="s">
        <v>30</v>
      </c>
      <c r="F234" s="318">
        <v>43047</v>
      </c>
      <c r="G234" s="622"/>
      <c r="H234" s="623"/>
      <c r="I234" s="624"/>
      <c r="J234" s="517" t="s">
        <v>30</v>
      </c>
      <c r="K234" s="133" t="s">
        <v>959</v>
      </c>
      <c r="L234" s="133"/>
      <c r="M234" s="368">
        <v>1</v>
      </c>
      <c r="N234" s="171" t="s">
        <v>268</v>
      </c>
      <c r="O234" s="235"/>
      <c r="P234" s="90">
        <f t="shared" si="14"/>
        <v>1</v>
      </c>
      <c r="Q234" s="327"/>
      <c r="R234" s="726"/>
      <c r="S234" s="277" t="s">
        <v>168</v>
      </c>
      <c r="T234" s="178"/>
      <c r="U234" s="91"/>
      <c r="V234" s="182"/>
      <c r="W234" s="183"/>
      <c r="X234" s="153"/>
      <c r="Y234" s="153"/>
      <c r="Z234" s="179"/>
      <c r="AA234" s="155"/>
      <c r="AB234" s="142"/>
      <c r="AC234" s="132"/>
    </row>
    <row r="235" spans="1:29" s="141" customFormat="1" ht="20.25" customHeight="1">
      <c r="A235" s="377" t="s">
        <v>71</v>
      </c>
      <c r="B235" s="186"/>
      <c r="C235" s="188"/>
      <c r="D235" s="169" t="s">
        <v>452</v>
      </c>
      <c r="E235" s="181" t="s">
        <v>30</v>
      </c>
      <c r="F235" s="318"/>
      <c r="G235" s="622"/>
      <c r="H235" s="623"/>
      <c r="I235" s="624"/>
      <c r="J235" s="517" t="s">
        <v>30</v>
      </c>
      <c r="K235" s="133" t="s">
        <v>1947</v>
      </c>
      <c r="L235" s="133"/>
      <c r="M235" s="368">
        <v>1</v>
      </c>
      <c r="N235" s="171" t="s">
        <v>268</v>
      </c>
      <c r="O235" s="235"/>
      <c r="P235" s="90">
        <f t="shared" si="14"/>
        <v>1</v>
      </c>
      <c r="Q235" s="326"/>
      <c r="R235" s="726"/>
      <c r="S235" s="277" t="s">
        <v>168</v>
      </c>
      <c r="T235" s="42"/>
      <c r="U235" s="45"/>
      <c r="V235" s="740"/>
      <c r="W235" s="740"/>
      <c r="X235" s="60"/>
      <c r="Y235" s="60"/>
      <c r="Z235" s="61"/>
      <c r="AA235" s="62"/>
      <c r="AB235" s="142"/>
      <c r="AC235" s="117"/>
    </row>
    <row r="236" spans="1:29" ht="19.5" customHeight="1">
      <c r="A236" s="359" t="s">
        <v>20</v>
      </c>
      <c r="D236" s="169" t="s">
        <v>820</v>
      </c>
      <c r="E236" s="181" t="s">
        <v>30</v>
      </c>
      <c r="F236" s="318">
        <v>43047</v>
      </c>
      <c r="G236" s="622"/>
      <c r="H236" s="623"/>
      <c r="I236" s="624"/>
      <c r="J236" s="517" t="s">
        <v>30</v>
      </c>
      <c r="K236" s="133" t="s">
        <v>961</v>
      </c>
      <c r="L236" s="133"/>
      <c r="M236" s="368">
        <v>1</v>
      </c>
      <c r="N236" s="171" t="s">
        <v>268</v>
      </c>
      <c r="O236" s="235"/>
      <c r="P236" s="90">
        <f t="shared" si="14"/>
        <v>1</v>
      </c>
      <c r="Q236" s="327"/>
      <c r="R236" s="726"/>
      <c r="S236" s="277" t="s">
        <v>168</v>
      </c>
      <c r="T236" s="178"/>
      <c r="U236" s="91"/>
      <c r="V236" s="674"/>
      <c r="W236" s="674"/>
      <c r="X236" s="153"/>
      <c r="Y236" s="153"/>
      <c r="Z236" s="179"/>
      <c r="AA236" s="155"/>
      <c r="AB236" s="142"/>
      <c r="AC236" s="132"/>
    </row>
    <row r="237" spans="1:29" s="1" customFormat="1" ht="20.25" customHeight="1">
      <c r="A237" s="359" t="s">
        <v>28</v>
      </c>
      <c r="B237"/>
      <c r="C237" s="76" t="str">
        <f>K$2</f>
        <v>10/08/2019</v>
      </c>
      <c r="D237" s="169" t="s">
        <v>521</v>
      </c>
      <c r="E237" s="233" t="s">
        <v>974</v>
      </c>
      <c r="F237" s="319">
        <v>43084</v>
      </c>
      <c r="G237" s="627"/>
      <c r="H237" s="631"/>
      <c r="I237" s="624"/>
      <c r="J237" s="519" t="s">
        <v>623</v>
      </c>
      <c r="K237" s="234" t="s">
        <v>624</v>
      </c>
      <c r="L237" s="3" t="s">
        <v>1177</v>
      </c>
      <c r="M237" s="369">
        <v>3</v>
      </c>
      <c r="N237" s="236" t="s">
        <v>18</v>
      </c>
      <c r="O237" s="235"/>
      <c r="P237" s="90">
        <f t="shared" si="14"/>
        <v>3</v>
      </c>
      <c r="Q237" s="326"/>
      <c r="R237" s="726"/>
      <c r="S237" s="288"/>
      <c r="T237" s="27"/>
      <c r="U237" s="8"/>
      <c r="V237" s="121"/>
      <c r="W237" s="8"/>
      <c r="X237" s="63">
        <v>122.4</v>
      </c>
      <c r="Y237" s="63"/>
      <c r="Z237" s="64"/>
      <c r="AA237" s="65"/>
      <c r="AB237">
        <v>126.2</v>
      </c>
      <c r="AC237"/>
    </row>
    <row r="238" spans="1:29" s="45" customFormat="1" ht="20.25" customHeight="1">
      <c r="A238" s="359" t="s">
        <v>20</v>
      </c>
      <c r="B238" s="58"/>
      <c r="C238" s="76" t="str">
        <f>K$2</f>
        <v>10/08/2019</v>
      </c>
      <c r="D238" s="169" t="s">
        <v>521</v>
      </c>
      <c r="E238" s="124" t="s">
        <v>797</v>
      </c>
      <c r="F238" s="323">
        <v>42977</v>
      </c>
      <c r="G238" s="627"/>
      <c r="H238" s="631"/>
      <c r="I238" s="624"/>
      <c r="J238" s="506" t="s">
        <v>798</v>
      </c>
      <c r="K238" s="125" t="s">
        <v>799</v>
      </c>
      <c r="L238" s="133" t="s">
        <v>29</v>
      </c>
      <c r="M238" s="368">
        <v>1</v>
      </c>
      <c r="N238" s="127" t="s">
        <v>17</v>
      </c>
      <c r="O238" s="235"/>
      <c r="P238" s="90">
        <f t="shared" si="14"/>
        <v>1</v>
      </c>
      <c r="Q238" s="326"/>
      <c r="R238" s="726"/>
      <c r="S238" s="276">
        <v>43299</v>
      </c>
      <c r="T238" s="136"/>
      <c r="U238" s="137"/>
      <c r="V238" s="343"/>
      <c r="W238" s="350"/>
      <c r="X238" s="139"/>
      <c r="Y238" s="139"/>
      <c r="Z238" s="131">
        <v>12650</v>
      </c>
      <c r="AA238" s="140"/>
      <c r="AB238" s="142"/>
      <c r="AC238" s="141"/>
    </row>
    <row r="239" spans="1:29" ht="19.5" customHeight="1">
      <c r="A239" s="359" t="s">
        <v>52</v>
      </c>
      <c r="D239" s="169" t="s">
        <v>521</v>
      </c>
      <c r="E239" s="124" t="s">
        <v>1384</v>
      </c>
      <c r="F239" s="320">
        <v>43188</v>
      </c>
      <c r="G239" s="627"/>
      <c r="H239" s="631"/>
      <c r="I239" s="624"/>
      <c r="J239" s="517" t="s">
        <v>1086</v>
      </c>
      <c r="K239" s="125" t="s">
        <v>1087</v>
      </c>
      <c r="L239" s="133" t="s">
        <v>1188</v>
      </c>
      <c r="M239" s="369">
        <v>1</v>
      </c>
      <c r="N239" s="236" t="s">
        <v>17</v>
      </c>
      <c r="O239" s="235"/>
      <c r="P239" s="90">
        <f t="shared" ref="P239:P269" si="20">IF(O239="",M239,M239-O239)</f>
        <v>1</v>
      </c>
      <c r="Q239" s="333" t="s">
        <v>1522</v>
      </c>
      <c r="R239" s="726"/>
      <c r="S239" s="276">
        <v>43213</v>
      </c>
      <c r="T239" s="27"/>
      <c r="U239" s="8"/>
      <c r="V239" s="345"/>
      <c r="W239" s="352"/>
      <c r="X239" s="63"/>
      <c r="Y239" s="63"/>
      <c r="Z239" s="64"/>
      <c r="AA239" s="65"/>
      <c r="AB239"/>
      <c r="AC239"/>
    </row>
    <row r="240" spans="1:29" s="1" customFormat="1" ht="21" customHeight="1">
      <c r="A240" s="359" t="s">
        <v>20</v>
      </c>
      <c r="B240"/>
      <c r="C240" s="76"/>
      <c r="D240" s="169" t="s">
        <v>521</v>
      </c>
      <c r="E240" s="233" t="s">
        <v>566</v>
      </c>
      <c r="F240" s="319" t="s">
        <v>1722</v>
      </c>
      <c r="G240" s="627"/>
      <c r="H240" s="631"/>
      <c r="I240" s="624"/>
      <c r="J240" s="519" t="s">
        <v>423</v>
      </c>
      <c r="K240" s="234" t="s">
        <v>902</v>
      </c>
      <c r="L240" s="3" t="s">
        <v>1463</v>
      </c>
      <c r="M240" s="369">
        <v>10</v>
      </c>
      <c r="N240" s="236" t="s">
        <v>17</v>
      </c>
      <c r="O240" s="235"/>
      <c r="P240" s="90">
        <f t="shared" si="20"/>
        <v>10</v>
      </c>
      <c r="Q240" s="328"/>
      <c r="R240" s="726"/>
      <c r="S240" s="288" t="s">
        <v>168</v>
      </c>
      <c r="T240" s="27"/>
      <c r="U240" s="8"/>
      <c r="V240" s="121"/>
      <c r="W240" s="8"/>
      <c r="X240" s="63"/>
      <c r="Y240" s="63"/>
      <c r="Z240" s="64"/>
      <c r="AA240" s="65"/>
      <c r="AB240"/>
      <c r="AC240"/>
    </row>
    <row r="241" spans="1:29" s="1" customFormat="1" ht="20.25" customHeight="1">
      <c r="A241" s="359" t="s">
        <v>20</v>
      </c>
      <c r="B241"/>
      <c r="C241" s="76"/>
      <c r="D241" s="169" t="s">
        <v>521</v>
      </c>
      <c r="E241" s="233" t="s">
        <v>1732</v>
      </c>
      <c r="F241" s="319" t="s">
        <v>1722</v>
      </c>
      <c r="G241" s="627"/>
      <c r="H241" s="631"/>
      <c r="I241" s="624"/>
      <c r="J241" s="519" t="s">
        <v>1733</v>
      </c>
      <c r="K241" s="234" t="s">
        <v>1734</v>
      </c>
      <c r="L241" s="3" t="s">
        <v>1735</v>
      </c>
      <c r="M241" s="369">
        <v>1200</v>
      </c>
      <c r="N241" s="259" t="s">
        <v>1160</v>
      </c>
      <c r="O241" s="235"/>
      <c r="P241" s="90">
        <f t="shared" si="20"/>
        <v>1200</v>
      </c>
      <c r="Q241" s="328"/>
      <c r="R241" s="726"/>
      <c r="S241" s="288" t="s">
        <v>168</v>
      </c>
      <c r="T241" s="27"/>
      <c r="U241" s="8"/>
      <c r="V241" s="742"/>
      <c r="W241" s="745"/>
      <c r="X241" s="63"/>
      <c r="Y241" s="63"/>
      <c r="Z241" s="64"/>
      <c r="AA241" s="65"/>
      <c r="AB241"/>
      <c r="AC241"/>
    </row>
    <row r="242" spans="1:29" s="1" customFormat="1" ht="20.25" customHeight="1">
      <c r="A242" s="359" t="s">
        <v>20</v>
      </c>
      <c r="B242"/>
      <c r="C242" s="76"/>
      <c r="D242" s="169" t="s">
        <v>521</v>
      </c>
      <c r="E242" s="233"/>
      <c r="F242" s="319" t="s">
        <v>1722</v>
      </c>
      <c r="G242" s="627"/>
      <c r="H242" s="631"/>
      <c r="I242" s="624"/>
      <c r="J242" s="519" t="s">
        <v>1736</v>
      </c>
      <c r="K242" s="234" t="s">
        <v>1737</v>
      </c>
      <c r="L242" s="3"/>
      <c r="M242" s="369">
        <v>1</v>
      </c>
      <c r="N242" s="259" t="s">
        <v>1160</v>
      </c>
      <c r="O242" s="235"/>
      <c r="P242" s="90">
        <f t="shared" si="20"/>
        <v>1</v>
      </c>
      <c r="Q242" s="328"/>
      <c r="R242" s="726"/>
      <c r="S242" s="288" t="s">
        <v>168</v>
      </c>
      <c r="T242" s="27"/>
      <c r="U242" s="8"/>
      <c r="V242" s="742"/>
      <c r="W242" s="745"/>
      <c r="X242" s="63"/>
      <c r="Y242" s="63"/>
      <c r="Z242" s="64"/>
      <c r="AA242" s="65"/>
      <c r="AB242"/>
      <c r="AC242"/>
    </row>
    <row r="243" spans="1:29" s="1" customFormat="1" ht="20.25" customHeight="1">
      <c r="A243" s="359" t="s">
        <v>20</v>
      </c>
      <c r="B243"/>
      <c r="C243" s="76"/>
      <c r="D243" s="169" t="s">
        <v>748</v>
      </c>
      <c r="E243" s="233"/>
      <c r="F243" s="319" t="s">
        <v>1928</v>
      </c>
      <c r="G243" s="627"/>
      <c r="H243" s="631"/>
      <c r="I243" s="624"/>
      <c r="J243" s="519" t="s">
        <v>1931</v>
      </c>
      <c r="K243" s="234"/>
      <c r="L243" s="3"/>
      <c r="M243" s="369">
        <v>1</v>
      </c>
      <c r="N243" s="259" t="s">
        <v>268</v>
      </c>
      <c r="O243" s="235"/>
      <c r="P243" s="90">
        <f t="shared" si="20"/>
        <v>1</v>
      </c>
      <c r="Q243" s="328"/>
      <c r="R243" s="726"/>
      <c r="S243" s="288" t="s">
        <v>168</v>
      </c>
      <c r="T243" s="27"/>
      <c r="U243" s="8"/>
      <c r="V243" s="742"/>
      <c r="W243" s="745"/>
      <c r="X243" s="63"/>
      <c r="Y243" s="63"/>
      <c r="Z243" s="64"/>
      <c r="AA243" s="65"/>
      <c r="AB243"/>
      <c r="AC243"/>
    </row>
    <row r="244" spans="1:29" s="156" customFormat="1" ht="20.25" customHeight="1">
      <c r="A244" s="359" t="s">
        <v>20</v>
      </c>
      <c r="B244" s="172"/>
      <c r="C244" s="173"/>
      <c r="D244" s="169" t="s">
        <v>476</v>
      </c>
      <c r="E244" s="181" t="s">
        <v>30</v>
      </c>
      <c r="F244" s="318">
        <v>43251</v>
      </c>
      <c r="G244" s="622"/>
      <c r="H244" s="623"/>
      <c r="I244" s="624"/>
      <c r="J244" s="517" t="s">
        <v>30</v>
      </c>
      <c r="K244" s="133" t="s">
        <v>1400</v>
      </c>
      <c r="L244" s="133"/>
      <c r="M244" s="368">
        <v>1</v>
      </c>
      <c r="N244" s="127" t="s">
        <v>268</v>
      </c>
      <c r="O244" s="235"/>
      <c r="P244" s="90">
        <f t="shared" si="20"/>
        <v>1</v>
      </c>
      <c r="Q244" s="327"/>
      <c r="R244" s="726"/>
      <c r="S244" s="277" t="s">
        <v>168</v>
      </c>
      <c r="T244" s="178"/>
      <c r="U244" s="91"/>
      <c r="V244" s="182"/>
      <c r="W244" s="183"/>
      <c r="X244" s="153"/>
      <c r="Y244" s="153"/>
      <c r="Z244" s="179"/>
      <c r="AA244" s="155"/>
      <c r="AB244" s="115"/>
      <c r="AC244" s="132"/>
    </row>
    <row r="245" spans="1:29" ht="20.25" customHeight="1">
      <c r="A245" s="359" t="s">
        <v>20</v>
      </c>
      <c r="C245" s="84"/>
      <c r="D245" s="169" t="s">
        <v>653</v>
      </c>
      <c r="E245" s="181" t="s">
        <v>30</v>
      </c>
      <c r="F245" s="318"/>
      <c r="G245" s="622"/>
      <c r="H245" s="623"/>
      <c r="I245" s="624"/>
      <c r="J245" s="517" t="s">
        <v>30</v>
      </c>
      <c r="K245" s="133" t="s">
        <v>1948</v>
      </c>
      <c r="L245" s="133"/>
      <c r="M245" s="368">
        <v>1</v>
      </c>
      <c r="N245" s="171" t="s">
        <v>268</v>
      </c>
      <c r="O245" s="235"/>
      <c r="P245" s="90">
        <f t="shared" si="20"/>
        <v>1</v>
      </c>
      <c r="Q245" s="326"/>
      <c r="R245" s="726"/>
      <c r="S245" s="277" t="s">
        <v>168</v>
      </c>
      <c r="T245" s="42"/>
      <c r="U245" s="45"/>
      <c r="V245" s="50"/>
      <c r="W245" s="50"/>
      <c r="X245" s="60"/>
      <c r="Y245" s="60"/>
      <c r="Z245" s="61"/>
      <c r="AA245" s="62"/>
      <c r="AB245" s="142"/>
      <c r="AC245" s="117"/>
    </row>
    <row r="246" spans="1:29" ht="20.25" customHeight="1">
      <c r="A246" s="359" t="s">
        <v>20</v>
      </c>
      <c r="D246" s="169" t="s">
        <v>760</v>
      </c>
      <c r="E246" s="181" t="s">
        <v>30</v>
      </c>
      <c r="F246" s="318"/>
      <c r="G246" s="622"/>
      <c r="H246" s="623"/>
      <c r="I246" s="624"/>
      <c r="J246" s="517" t="s">
        <v>30</v>
      </c>
      <c r="K246" s="133" t="s">
        <v>1949</v>
      </c>
      <c r="L246" s="133"/>
      <c r="M246" s="368">
        <v>1</v>
      </c>
      <c r="N246" s="171" t="s">
        <v>268</v>
      </c>
      <c r="O246" s="235"/>
      <c r="P246" s="90">
        <f t="shared" si="20"/>
        <v>1</v>
      </c>
      <c r="Q246" s="326"/>
      <c r="R246" s="726"/>
      <c r="S246" s="277" t="s">
        <v>168</v>
      </c>
      <c r="T246" s="42"/>
      <c r="U246" s="45"/>
      <c r="V246" s="50"/>
      <c r="W246" s="50"/>
      <c r="X246" s="60"/>
      <c r="Y246" s="60"/>
      <c r="Z246" s="61"/>
      <c r="AA246" s="62"/>
      <c r="AB246" s="142"/>
      <c r="AC246" s="117"/>
    </row>
    <row r="247" spans="1:29" ht="19.5" customHeight="1">
      <c r="A247" s="359" t="s">
        <v>20</v>
      </c>
      <c r="D247" s="169" t="s">
        <v>457</v>
      </c>
      <c r="E247" s="181" t="s">
        <v>30</v>
      </c>
      <c r="F247" s="318"/>
      <c r="G247" s="622"/>
      <c r="H247" s="622"/>
      <c r="I247" s="624"/>
      <c r="J247" s="517" t="s">
        <v>30</v>
      </c>
      <c r="K247" s="133" t="s">
        <v>1950</v>
      </c>
      <c r="L247" s="133"/>
      <c r="M247" s="368">
        <v>1</v>
      </c>
      <c r="N247" s="171" t="s">
        <v>268</v>
      </c>
      <c r="O247" s="235"/>
      <c r="P247" s="90">
        <f t="shared" si="20"/>
        <v>1</v>
      </c>
      <c r="Q247" s="326"/>
      <c r="R247" s="726"/>
      <c r="S247" s="277" t="s">
        <v>168</v>
      </c>
      <c r="T247" s="42"/>
      <c r="U247" s="45"/>
      <c r="V247" s="50"/>
      <c r="W247" s="50"/>
      <c r="X247" s="60"/>
      <c r="Y247" s="60"/>
      <c r="Z247" s="61"/>
      <c r="AA247" s="62"/>
      <c r="AB247" s="142"/>
      <c r="AC247" s="117"/>
    </row>
    <row r="248" spans="1:29" ht="20.25" customHeight="1">
      <c r="A248" s="359" t="s">
        <v>20</v>
      </c>
      <c r="C248" s="84"/>
      <c r="D248" s="169" t="s">
        <v>478</v>
      </c>
      <c r="E248" s="149" t="s">
        <v>30</v>
      </c>
      <c r="F248" s="321"/>
      <c r="G248" s="625"/>
      <c r="H248" s="626"/>
      <c r="I248" s="624"/>
      <c r="J248" s="517" t="s">
        <v>30</v>
      </c>
      <c r="K248" s="285" t="s">
        <v>2184</v>
      </c>
      <c r="L248" s="290"/>
      <c r="M248" s="370">
        <v>1</v>
      </c>
      <c r="N248" s="150" t="s">
        <v>268</v>
      </c>
      <c r="O248" s="235"/>
      <c r="P248" s="90">
        <f t="shared" si="20"/>
        <v>1</v>
      </c>
      <c r="Q248" s="327"/>
      <c r="R248" s="726"/>
      <c r="S248" s="288" t="s">
        <v>168</v>
      </c>
      <c r="T248" s="27"/>
      <c r="U248" s="81"/>
      <c r="V248" s="82"/>
      <c r="W248" s="81"/>
      <c r="X248" s="60"/>
      <c r="Y248" s="60"/>
      <c r="Z248" s="83"/>
      <c r="AA248" s="62"/>
      <c r="AB248" s="142"/>
      <c r="AC248" s="117"/>
    </row>
    <row r="249" spans="1:29" s="53" customFormat="1" ht="20.25" customHeight="1">
      <c r="A249" s="359" t="s">
        <v>20</v>
      </c>
      <c r="C249" s="84"/>
      <c r="D249" s="169" t="s">
        <v>1365</v>
      </c>
      <c r="E249" s="181" t="s">
        <v>30</v>
      </c>
      <c r="F249" s="318"/>
      <c r="G249" s="622"/>
      <c r="H249" s="623"/>
      <c r="I249" s="624"/>
      <c r="J249" s="517" t="s">
        <v>30</v>
      </c>
      <c r="K249" s="133" t="s">
        <v>1951</v>
      </c>
      <c r="L249" s="133"/>
      <c r="M249" s="368">
        <v>1</v>
      </c>
      <c r="N249" s="171" t="s">
        <v>268</v>
      </c>
      <c r="O249" s="235"/>
      <c r="P249" s="90">
        <f t="shared" si="20"/>
        <v>1</v>
      </c>
      <c r="Q249" s="326"/>
      <c r="R249" s="726"/>
      <c r="S249" s="277" t="s">
        <v>168</v>
      </c>
      <c r="T249" s="42"/>
      <c r="U249" s="45"/>
      <c r="V249" s="50"/>
      <c r="W249" s="50"/>
      <c r="X249" s="60"/>
      <c r="Y249" s="60"/>
      <c r="Z249" s="61"/>
      <c r="AA249" s="62"/>
      <c r="AB249" s="142"/>
      <c r="AC249" s="117"/>
    </row>
    <row r="250" spans="1:29" ht="20.25" customHeight="1">
      <c r="A250" s="359" t="s">
        <v>20</v>
      </c>
      <c r="C250" s="84"/>
      <c r="D250" s="169" t="s">
        <v>451</v>
      </c>
      <c r="E250" s="181" t="s">
        <v>30</v>
      </c>
      <c r="F250" s="318"/>
      <c r="G250" s="622"/>
      <c r="H250" s="623"/>
      <c r="I250" s="624"/>
      <c r="J250" s="517" t="s">
        <v>30</v>
      </c>
      <c r="K250" s="133" t="s">
        <v>1952</v>
      </c>
      <c r="L250" s="133"/>
      <c r="M250" s="368">
        <v>1</v>
      </c>
      <c r="N250" s="171" t="s">
        <v>268</v>
      </c>
      <c r="O250" s="235"/>
      <c r="P250" s="90">
        <f t="shared" si="20"/>
        <v>1</v>
      </c>
      <c r="Q250" s="326"/>
      <c r="R250" s="726"/>
      <c r="S250" s="277" t="s">
        <v>168</v>
      </c>
      <c r="T250" s="42"/>
      <c r="U250" s="45"/>
      <c r="V250" s="50"/>
      <c r="W250" s="50"/>
      <c r="X250" s="60"/>
      <c r="Y250" s="60"/>
      <c r="Z250" s="61"/>
      <c r="AA250" s="62"/>
      <c r="AB250" s="142"/>
      <c r="AC250" s="117"/>
    </row>
    <row r="251" spans="1:29" ht="20.25" customHeight="1">
      <c r="A251" s="359" t="s">
        <v>28</v>
      </c>
      <c r="B251" s="186"/>
      <c r="C251" s="188"/>
      <c r="D251" s="169" t="s">
        <v>504</v>
      </c>
      <c r="E251" s="181" t="s">
        <v>30</v>
      </c>
      <c r="F251" s="318"/>
      <c r="G251" s="622"/>
      <c r="H251" s="623"/>
      <c r="I251" s="624"/>
      <c r="J251" s="517" t="s">
        <v>30</v>
      </c>
      <c r="K251" s="133" t="s">
        <v>1953</v>
      </c>
      <c r="L251" s="133"/>
      <c r="M251" s="368">
        <v>1</v>
      </c>
      <c r="N251" s="171" t="s">
        <v>268</v>
      </c>
      <c r="O251" s="235"/>
      <c r="P251" s="90">
        <f t="shared" si="20"/>
        <v>1</v>
      </c>
      <c r="Q251" s="270"/>
      <c r="R251" s="726"/>
      <c r="S251" s="277" t="s">
        <v>168</v>
      </c>
      <c r="T251" s="42"/>
      <c r="U251" s="45"/>
      <c r="V251" s="50"/>
      <c r="W251" s="50"/>
      <c r="X251" s="60"/>
      <c r="Y251" s="60"/>
      <c r="Z251" s="61"/>
      <c r="AA251" s="62"/>
      <c r="AB251" s="142"/>
      <c r="AC251" s="117"/>
    </row>
    <row r="252" spans="1:29" s="168" customFormat="1" ht="20.25">
      <c r="A252" s="359" t="s">
        <v>28</v>
      </c>
      <c r="B252" s="157"/>
      <c r="C252" s="158"/>
      <c r="D252" s="169" t="s">
        <v>450</v>
      </c>
      <c r="E252" s="124" t="s">
        <v>1974</v>
      </c>
      <c r="F252" s="320">
        <v>43678</v>
      </c>
      <c r="G252" s="625"/>
      <c r="H252" s="626"/>
      <c r="I252" s="624"/>
      <c r="J252" s="506" t="s">
        <v>1712</v>
      </c>
      <c r="K252" s="125" t="s">
        <v>1713</v>
      </c>
      <c r="L252" s="133" t="s">
        <v>1395</v>
      </c>
      <c r="M252" s="370">
        <v>9</v>
      </c>
      <c r="N252" s="236" t="s">
        <v>17</v>
      </c>
      <c r="O252" s="126"/>
      <c r="P252" s="90">
        <f t="shared" si="20"/>
        <v>9</v>
      </c>
      <c r="Q252" s="326"/>
      <c r="R252" s="726"/>
      <c r="S252" s="277" t="s">
        <v>168</v>
      </c>
      <c r="T252" s="159"/>
      <c r="U252" s="160"/>
      <c r="V252" s="664"/>
      <c r="W252" s="665"/>
      <c r="X252" s="163"/>
      <c r="Y252" s="163"/>
      <c r="Z252" s="164"/>
      <c r="AA252" s="165"/>
      <c r="AB252" s="166"/>
      <c r="AC252" s="167"/>
    </row>
    <row r="253" spans="1:29" s="168" customFormat="1" ht="20.25">
      <c r="A253" s="359" t="s">
        <v>28</v>
      </c>
      <c r="B253" s="157"/>
      <c r="C253" s="158"/>
      <c r="D253" s="169" t="s">
        <v>450</v>
      </c>
      <c r="E253" s="124" t="s">
        <v>1926</v>
      </c>
      <c r="F253" s="320">
        <v>43662</v>
      </c>
      <c r="G253" s="625"/>
      <c r="H253" s="626"/>
      <c r="I253" s="624"/>
      <c r="J253" s="506" t="s">
        <v>1927</v>
      </c>
      <c r="K253" s="125" t="s">
        <v>216</v>
      </c>
      <c r="L253" s="133" t="s">
        <v>212</v>
      </c>
      <c r="M253" s="370">
        <v>4</v>
      </c>
      <c r="N253" s="236" t="s">
        <v>17</v>
      </c>
      <c r="O253" s="126">
        <v>3</v>
      </c>
      <c r="P253" s="90">
        <f t="shared" si="20"/>
        <v>1</v>
      </c>
      <c r="Q253" s="326"/>
      <c r="R253" s="752" t="s">
        <v>2287</v>
      </c>
      <c r="S253" s="277" t="s">
        <v>168</v>
      </c>
      <c r="T253" s="159"/>
      <c r="U253" s="160"/>
      <c r="V253" s="664"/>
      <c r="W253" s="665"/>
      <c r="X253" s="163"/>
      <c r="Y253" s="163"/>
      <c r="Z253" s="164"/>
      <c r="AA253" s="165"/>
      <c r="AB253" s="166"/>
      <c r="AC253" s="167"/>
    </row>
    <row r="254" spans="1:29" s="168" customFormat="1" ht="20.25">
      <c r="A254" s="359" t="s">
        <v>28</v>
      </c>
      <c r="B254" s="157"/>
      <c r="C254" s="158"/>
      <c r="D254" s="169" t="s">
        <v>450</v>
      </c>
      <c r="E254" s="124" t="s">
        <v>949</v>
      </c>
      <c r="F254" s="320">
        <v>43662</v>
      </c>
      <c r="G254" s="625"/>
      <c r="H254" s="626"/>
      <c r="I254" s="624"/>
      <c r="J254" s="506" t="s">
        <v>260</v>
      </c>
      <c r="K254" s="125" t="s">
        <v>261</v>
      </c>
      <c r="L254" s="133" t="s">
        <v>212</v>
      </c>
      <c r="M254" s="370">
        <v>8</v>
      </c>
      <c r="N254" s="236" t="s">
        <v>17</v>
      </c>
      <c r="O254" s="126">
        <v>5</v>
      </c>
      <c r="P254" s="90">
        <f t="shared" si="20"/>
        <v>3</v>
      </c>
      <c r="Q254" s="326"/>
      <c r="R254" s="752" t="s">
        <v>963</v>
      </c>
      <c r="S254" s="277" t="s">
        <v>168</v>
      </c>
      <c r="T254" s="159"/>
      <c r="U254" s="160"/>
      <c r="V254" s="664"/>
      <c r="W254" s="665"/>
      <c r="X254" s="163"/>
      <c r="Y254" s="163"/>
      <c r="Z254" s="164"/>
      <c r="AA254" s="165"/>
      <c r="AB254" s="166"/>
      <c r="AC254" s="167"/>
    </row>
    <row r="255" spans="1:29" ht="20.25" customHeight="1">
      <c r="A255" s="359" t="s">
        <v>20</v>
      </c>
      <c r="D255" s="169" t="s">
        <v>647</v>
      </c>
      <c r="E255" s="181" t="s">
        <v>30</v>
      </c>
      <c r="F255" s="318"/>
      <c r="G255" s="622"/>
      <c r="H255" s="623"/>
      <c r="I255" s="624"/>
      <c r="J255" s="517" t="s">
        <v>30</v>
      </c>
      <c r="K255" s="133" t="s">
        <v>1090</v>
      </c>
      <c r="L255" s="133"/>
      <c r="M255" s="368">
        <v>1</v>
      </c>
      <c r="N255" s="171" t="s">
        <v>268</v>
      </c>
      <c r="O255" s="235"/>
      <c r="P255" s="90">
        <f t="shared" si="20"/>
        <v>1</v>
      </c>
      <c r="Q255" s="327"/>
      <c r="R255" s="726"/>
      <c r="S255" s="288" t="s">
        <v>168</v>
      </c>
      <c r="T255" s="178"/>
      <c r="U255" s="91"/>
      <c r="V255" s="342"/>
      <c r="W255" s="342"/>
      <c r="X255" s="153"/>
      <c r="Y255" s="153"/>
      <c r="Z255" s="179"/>
      <c r="AA255" s="155"/>
      <c r="AB255" s="142"/>
      <c r="AC255" s="132"/>
    </row>
    <row r="256" spans="1:29" ht="19.5" customHeight="1">
      <c r="A256" s="359" t="s">
        <v>20</v>
      </c>
      <c r="D256" s="169" t="s">
        <v>352</v>
      </c>
      <c r="E256" s="181" t="s">
        <v>30</v>
      </c>
      <c r="F256" s="318"/>
      <c r="G256" s="622"/>
      <c r="H256" s="623"/>
      <c r="I256" s="624"/>
      <c r="J256" s="517" t="s">
        <v>30</v>
      </c>
      <c r="K256" s="133" t="s">
        <v>1954</v>
      </c>
      <c r="L256" s="133"/>
      <c r="M256" s="368">
        <v>1</v>
      </c>
      <c r="N256" s="171" t="s">
        <v>268</v>
      </c>
      <c r="O256" s="235"/>
      <c r="P256" s="90">
        <f t="shared" si="20"/>
        <v>1</v>
      </c>
      <c r="Q256" s="326"/>
      <c r="R256" s="726"/>
      <c r="S256" s="277" t="s">
        <v>168</v>
      </c>
      <c r="T256" s="42"/>
      <c r="U256" s="45"/>
      <c r="V256" s="740"/>
      <c r="W256" s="740"/>
      <c r="X256" s="60"/>
      <c r="Y256" s="60"/>
      <c r="Z256" s="61"/>
      <c r="AA256" s="62"/>
      <c r="AB256" s="142"/>
      <c r="AC256" s="117"/>
    </row>
    <row r="257" spans="1:29" s="53" customFormat="1" ht="20.25" customHeight="1">
      <c r="A257" s="359" t="s">
        <v>20</v>
      </c>
      <c r="C257" s="84"/>
      <c r="D257" s="169" t="s">
        <v>211</v>
      </c>
      <c r="E257" s="181" t="s">
        <v>30</v>
      </c>
      <c r="F257" s="318"/>
      <c r="G257" s="622"/>
      <c r="H257" s="623"/>
      <c r="I257" s="624"/>
      <c r="J257" s="517" t="s">
        <v>30</v>
      </c>
      <c r="K257" s="133" t="s">
        <v>1955</v>
      </c>
      <c r="L257" s="133"/>
      <c r="M257" s="368">
        <v>1</v>
      </c>
      <c r="N257" s="171" t="s">
        <v>268</v>
      </c>
      <c r="O257" s="235"/>
      <c r="P257" s="90">
        <f t="shared" si="20"/>
        <v>1</v>
      </c>
      <c r="Q257" s="326"/>
      <c r="R257" s="726"/>
      <c r="S257" s="277" t="s">
        <v>168</v>
      </c>
      <c r="T257" s="42"/>
      <c r="U257" s="45"/>
      <c r="V257" s="50"/>
      <c r="W257" s="50"/>
      <c r="X257" s="60"/>
      <c r="Y257" s="60"/>
      <c r="Z257" s="61"/>
      <c r="AA257" s="62"/>
      <c r="AB257" s="142"/>
      <c r="AC257" s="117"/>
    </row>
    <row r="258" spans="1:29" ht="20.25" customHeight="1">
      <c r="A258" s="359" t="s">
        <v>20</v>
      </c>
      <c r="C258" s="84"/>
      <c r="D258" s="169" t="s">
        <v>579</v>
      </c>
      <c r="E258" s="181" t="s">
        <v>30</v>
      </c>
      <c r="F258" s="318">
        <v>43047</v>
      </c>
      <c r="G258" s="622"/>
      <c r="H258" s="623"/>
      <c r="I258" s="624"/>
      <c r="J258" s="517" t="s">
        <v>30</v>
      </c>
      <c r="K258" s="133" t="s">
        <v>956</v>
      </c>
      <c r="L258" s="133"/>
      <c r="M258" s="368">
        <v>1</v>
      </c>
      <c r="N258" s="171" t="s">
        <v>268</v>
      </c>
      <c r="O258" s="235"/>
      <c r="P258" s="90">
        <f t="shared" si="20"/>
        <v>1</v>
      </c>
      <c r="Q258" s="327"/>
      <c r="R258" s="726"/>
      <c r="S258" s="277" t="s">
        <v>168</v>
      </c>
      <c r="T258" s="178"/>
      <c r="U258" s="91"/>
      <c r="V258" s="674"/>
      <c r="W258" s="342"/>
      <c r="X258" s="153"/>
      <c r="Y258" s="153"/>
      <c r="Z258" s="179"/>
      <c r="AA258" s="155"/>
      <c r="AB258" s="142"/>
      <c r="AC258" s="132"/>
    </row>
    <row r="259" spans="1:29" ht="20.25" customHeight="1">
      <c r="A259" s="359" t="s">
        <v>20</v>
      </c>
      <c r="C259" s="84"/>
      <c r="D259" s="169" t="s">
        <v>579</v>
      </c>
      <c r="E259" s="181" t="s">
        <v>30</v>
      </c>
      <c r="F259" s="318"/>
      <c r="G259" s="622"/>
      <c r="H259" s="623"/>
      <c r="I259" s="624"/>
      <c r="J259" s="517" t="s">
        <v>30</v>
      </c>
      <c r="K259" s="133" t="s">
        <v>1956</v>
      </c>
      <c r="L259" s="133"/>
      <c r="M259" s="368">
        <v>1</v>
      </c>
      <c r="N259" s="171" t="s">
        <v>268</v>
      </c>
      <c r="O259" s="235"/>
      <c r="P259" s="90">
        <f t="shared" si="20"/>
        <v>1</v>
      </c>
      <c r="Q259" s="326"/>
      <c r="R259" s="726"/>
      <c r="S259" s="277" t="s">
        <v>168</v>
      </c>
      <c r="T259" s="42"/>
      <c r="U259" s="45"/>
      <c r="V259" s="740"/>
      <c r="W259" s="740"/>
      <c r="X259" s="60"/>
      <c r="Y259" s="60"/>
      <c r="Z259" s="61"/>
      <c r="AA259" s="62"/>
      <c r="AB259" s="142"/>
      <c r="AC259" s="117"/>
    </row>
    <row r="260" spans="1:29" s="58" customFormat="1" ht="21" customHeight="1">
      <c r="A260" s="359" t="s">
        <v>20</v>
      </c>
      <c r="B260" s="79"/>
      <c r="C260" s="80" t="str">
        <f>K$2</f>
        <v>10/08/2019</v>
      </c>
      <c r="D260" s="169" t="s">
        <v>335</v>
      </c>
      <c r="E260" s="181" t="s">
        <v>30</v>
      </c>
      <c r="F260" s="318"/>
      <c r="G260" s="622"/>
      <c r="H260" s="623"/>
      <c r="I260" s="624"/>
      <c r="J260" s="517" t="s">
        <v>30</v>
      </c>
      <c r="K260" s="133" t="s">
        <v>1957</v>
      </c>
      <c r="L260" s="133"/>
      <c r="M260" s="368">
        <v>1</v>
      </c>
      <c r="N260" s="171" t="s">
        <v>268</v>
      </c>
      <c r="O260" s="235"/>
      <c r="P260" s="90">
        <f t="shared" si="20"/>
        <v>1</v>
      </c>
      <c r="Q260" s="326"/>
      <c r="R260" s="726"/>
      <c r="S260" s="277" t="s">
        <v>168</v>
      </c>
      <c r="T260" s="42"/>
      <c r="U260" s="45"/>
      <c r="V260" s="740"/>
      <c r="W260" s="740"/>
      <c r="X260" s="60"/>
      <c r="Y260" s="60"/>
      <c r="Z260" s="61"/>
      <c r="AA260" s="62"/>
      <c r="AB260" s="142"/>
      <c r="AC260" s="117"/>
    </row>
    <row r="261" spans="1:29" ht="20.25" customHeight="1">
      <c r="A261" s="359" t="s">
        <v>20</v>
      </c>
      <c r="C261" s="84"/>
      <c r="D261" s="15" t="s">
        <v>116</v>
      </c>
      <c r="E261" s="124" t="s">
        <v>30</v>
      </c>
      <c r="F261" s="318">
        <v>43047</v>
      </c>
      <c r="G261" s="622"/>
      <c r="H261" s="623"/>
      <c r="I261" s="624"/>
      <c r="J261" s="517" t="s">
        <v>30</v>
      </c>
      <c r="K261" s="125" t="s">
        <v>957</v>
      </c>
      <c r="L261" s="133"/>
      <c r="M261" s="368">
        <v>1</v>
      </c>
      <c r="N261" s="171" t="s">
        <v>268</v>
      </c>
      <c r="O261" s="235"/>
      <c r="P261" s="90">
        <f t="shared" si="20"/>
        <v>1</v>
      </c>
      <c r="Q261" s="327"/>
      <c r="R261" s="726"/>
      <c r="S261" s="277" t="s">
        <v>168</v>
      </c>
      <c r="T261" s="178"/>
      <c r="U261" s="91"/>
      <c r="V261" s="342"/>
      <c r="W261" s="342"/>
      <c r="X261" s="153"/>
      <c r="Y261" s="153"/>
      <c r="Z261" s="179"/>
      <c r="AA261" s="155"/>
      <c r="AB261" s="142"/>
      <c r="AC261" s="132"/>
    </row>
    <row r="262" spans="1:29" ht="19.5" customHeight="1">
      <c r="A262" s="359" t="s">
        <v>20</v>
      </c>
      <c r="D262" s="169" t="s">
        <v>484</v>
      </c>
      <c r="E262" s="124" t="s">
        <v>30</v>
      </c>
      <c r="F262" s="318"/>
      <c r="G262" s="622"/>
      <c r="H262" s="623"/>
      <c r="I262" s="624"/>
      <c r="J262" s="517" t="s">
        <v>30</v>
      </c>
      <c r="K262" s="125" t="s">
        <v>1958</v>
      </c>
      <c r="L262" s="133"/>
      <c r="M262" s="368">
        <v>1</v>
      </c>
      <c r="N262" s="171" t="s">
        <v>268</v>
      </c>
      <c r="O262" s="235"/>
      <c r="P262" s="90">
        <f t="shared" si="20"/>
        <v>1</v>
      </c>
      <c r="Q262" s="326"/>
      <c r="R262" s="726"/>
      <c r="S262" s="277" t="s">
        <v>168</v>
      </c>
      <c r="T262" s="42"/>
      <c r="U262" s="45"/>
      <c r="V262" s="50"/>
      <c r="W262" s="50"/>
      <c r="X262" s="60"/>
      <c r="Y262" s="60"/>
      <c r="Z262" s="61"/>
      <c r="AA262" s="62"/>
      <c r="AB262" s="142"/>
      <c r="AC262" s="117"/>
    </row>
    <row r="263" spans="1:29" ht="19.5" customHeight="1">
      <c r="A263" s="359" t="s">
        <v>20</v>
      </c>
      <c r="D263" s="169" t="s">
        <v>505</v>
      </c>
      <c r="E263" s="124" t="s">
        <v>30</v>
      </c>
      <c r="F263" s="318"/>
      <c r="G263" s="622"/>
      <c r="H263" s="623"/>
      <c r="I263" s="624"/>
      <c r="J263" s="517" t="s">
        <v>30</v>
      </c>
      <c r="K263" s="125" t="s">
        <v>1959</v>
      </c>
      <c r="L263" s="133"/>
      <c r="M263" s="368">
        <v>1</v>
      </c>
      <c r="N263" s="171" t="s">
        <v>268</v>
      </c>
      <c r="O263" s="235"/>
      <c r="P263" s="90">
        <f t="shared" si="20"/>
        <v>1</v>
      </c>
      <c r="Q263" s="326"/>
      <c r="R263" s="726"/>
      <c r="S263" s="277" t="s">
        <v>168</v>
      </c>
      <c r="T263" s="42"/>
      <c r="U263" s="45"/>
      <c r="V263" s="740"/>
      <c r="W263" s="740"/>
      <c r="X263" s="60"/>
      <c r="Y263" s="60"/>
      <c r="Z263" s="61"/>
      <c r="AA263" s="62"/>
      <c r="AB263" s="142"/>
      <c r="AC263" s="117"/>
    </row>
    <row r="264" spans="1:29" ht="19.5" customHeight="1">
      <c r="A264" s="359" t="s">
        <v>20</v>
      </c>
      <c r="D264" s="169" t="s">
        <v>491</v>
      </c>
      <c r="E264" s="124" t="s">
        <v>30</v>
      </c>
      <c r="F264" s="318"/>
      <c r="G264" s="622"/>
      <c r="H264" s="623"/>
      <c r="I264" s="624"/>
      <c r="J264" s="517" t="s">
        <v>30</v>
      </c>
      <c r="K264" s="125" t="s">
        <v>1960</v>
      </c>
      <c r="L264" s="133"/>
      <c r="M264" s="368">
        <v>1</v>
      </c>
      <c r="N264" s="171" t="s">
        <v>268</v>
      </c>
      <c r="O264" s="235"/>
      <c r="P264" s="90">
        <f t="shared" si="20"/>
        <v>1</v>
      </c>
      <c r="Q264" s="326"/>
      <c r="R264" s="726"/>
      <c r="S264" s="277" t="s">
        <v>168</v>
      </c>
      <c r="T264" s="42"/>
      <c r="U264" s="45"/>
      <c r="V264" s="50"/>
      <c r="W264" s="50"/>
      <c r="X264" s="60"/>
      <c r="Y264" s="60"/>
      <c r="Z264" s="61"/>
      <c r="AA264" s="62"/>
      <c r="AB264" s="142"/>
      <c r="AC264" s="117"/>
    </row>
    <row r="265" spans="1:29" ht="19.5" customHeight="1">
      <c r="A265" s="359" t="s">
        <v>20</v>
      </c>
      <c r="D265" s="169" t="s">
        <v>490</v>
      </c>
      <c r="E265" s="124" t="s">
        <v>30</v>
      </c>
      <c r="F265" s="318"/>
      <c r="G265" s="622"/>
      <c r="H265" s="623"/>
      <c r="I265" s="624"/>
      <c r="J265" s="517" t="s">
        <v>30</v>
      </c>
      <c r="K265" s="125" t="s">
        <v>1961</v>
      </c>
      <c r="L265" s="133"/>
      <c r="M265" s="368">
        <v>1</v>
      </c>
      <c r="N265" s="171" t="s">
        <v>268</v>
      </c>
      <c r="O265" s="235"/>
      <c r="P265" s="90">
        <f t="shared" si="20"/>
        <v>1</v>
      </c>
      <c r="Q265" s="326"/>
      <c r="R265" s="726"/>
      <c r="S265" s="277" t="s">
        <v>168</v>
      </c>
      <c r="T265" s="42"/>
      <c r="U265" s="45"/>
      <c r="V265" s="50"/>
      <c r="W265" s="50"/>
      <c r="X265" s="60"/>
      <c r="Y265" s="60"/>
      <c r="Z265" s="61"/>
      <c r="AA265" s="62"/>
      <c r="AB265" s="142"/>
      <c r="AC265" s="117"/>
    </row>
    <row r="266" spans="1:29" ht="20.25" customHeight="1">
      <c r="A266" s="359" t="s">
        <v>20</v>
      </c>
      <c r="C266" s="84" t="str">
        <f>K$2</f>
        <v>10/08/2019</v>
      </c>
      <c r="D266" s="169" t="s">
        <v>720</v>
      </c>
      <c r="E266" s="233" t="s">
        <v>30</v>
      </c>
      <c r="F266" s="317"/>
      <c r="G266" s="622"/>
      <c r="H266" s="623"/>
      <c r="I266" s="624"/>
      <c r="J266" s="519" t="s">
        <v>30</v>
      </c>
      <c r="K266" s="234" t="s">
        <v>980</v>
      </c>
      <c r="L266" s="3"/>
      <c r="M266" s="369">
        <v>1</v>
      </c>
      <c r="N266" s="19" t="s">
        <v>268</v>
      </c>
      <c r="O266" s="235"/>
      <c r="P266" s="90">
        <f t="shared" si="20"/>
        <v>1</v>
      </c>
      <c r="Q266" s="271"/>
      <c r="R266" s="726"/>
      <c r="S266" s="288" t="s">
        <v>168</v>
      </c>
      <c r="T266" s="42"/>
      <c r="U266" s="45"/>
      <c r="V266" s="89"/>
      <c r="W266" s="89"/>
      <c r="X266" s="60"/>
      <c r="Y266" s="60"/>
      <c r="Z266" s="61"/>
      <c r="AA266" s="62"/>
      <c r="AB266" s="144"/>
      <c r="AC266" s="117"/>
    </row>
    <row r="267" spans="1:29" s="141" customFormat="1" ht="20.25" customHeight="1">
      <c r="A267" s="377" t="s">
        <v>71</v>
      </c>
      <c r="B267" s="186"/>
      <c r="C267" s="188"/>
      <c r="D267" s="169" t="s">
        <v>479</v>
      </c>
      <c r="E267" s="124" t="s">
        <v>30</v>
      </c>
      <c r="F267" s="318"/>
      <c r="G267" s="622"/>
      <c r="H267" s="622"/>
      <c r="I267" s="624"/>
      <c r="J267" s="517" t="s">
        <v>30</v>
      </c>
      <c r="K267" s="125" t="s">
        <v>982</v>
      </c>
      <c r="L267" s="133"/>
      <c r="M267" s="368">
        <v>1</v>
      </c>
      <c r="N267" s="171" t="s">
        <v>268</v>
      </c>
      <c r="O267" s="235"/>
      <c r="P267" s="90">
        <f t="shared" si="20"/>
        <v>1</v>
      </c>
      <c r="Q267" s="327"/>
      <c r="R267" s="726"/>
      <c r="S267" s="288" t="s">
        <v>168</v>
      </c>
      <c r="T267" s="178"/>
      <c r="U267" s="91"/>
      <c r="V267" s="342"/>
      <c r="W267" s="342"/>
      <c r="X267" s="153"/>
      <c r="Y267" s="153"/>
      <c r="Z267" s="179"/>
      <c r="AA267" s="155"/>
      <c r="AB267" s="142"/>
      <c r="AC267" s="132"/>
    </row>
    <row r="268" spans="1:29" s="58" customFormat="1" ht="21" customHeight="1">
      <c r="A268" s="359" t="s">
        <v>20</v>
      </c>
      <c r="B268" s="79"/>
      <c r="C268" s="80"/>
      <c r="D268" s="169" t="s">
        <v>632</v>
      </c>
      <c r="E268" s="124"/>
      <c r="F268" s="320"/>
      <c r="G268" s="627"/>
      <c r="H268" s="631"/>
      <c r="I268" s="624"/>
      <c r="J268" s="517" t="s">
        <v>977</v>
      </c>
      <c r="K268" s="125"/>
      <c r="L268" s="133"/>
      <c r="M268" s="369">
        <v>1</v>
      </c>
      <c r="N268" s="236" t="s">
        <v>268</v>
      </c>
      <c r="O268" s="235"/>
      <c r="P268" s="90">
        <f t="shared" si="20"/>
        <v>1</v>
      </c>
      <c r="Q268" s="271"/>
      <c r="R268" s="726"/>
      <c r="S268" s="288" t="s">
        <v>168</v>
      </c>
      <c r="T268" s="27"/>
      <c r="U268" s="8"/>
      <c r="V268" s="742"/>
      <c r="W268" s="745"/>
      <c r="X268" s="63"/>
      <c r="Y268" s="63"/>
      <c r="Z268" s="64"/>
      <c r="AA268" s="65"/>
      <c r="AB268"/>
      <c r="AC268"/>
    </row>
    <row r="269" spans="1:29" ht="19.5" customHeight="1">
      <c r="A269" s="359" t="s">
        <v>20</v>
      </c>
      <c r="D269" s="123" t="s">
        <v>703</v>
      </c>
      <c r="E269" s="124" t="s">
        <v>30</v>
      </c>
      <c r="F269" s="318"/>
      <c r="G269" s="622"/>
      <c r="H269" s="623"/>
      <c r="I269" s="624"/>
      <c r="J269" s="517" t="s">
        <v>30</v>
      </c>
      <c r="K269" s="125" t="s">
        <v>983</v>
      </c>
      <c r="L269" s="133"/>
      <c r="M269" s="368">
        <v>1</v>
      </c>
      <c r="N269" s="171" t="s">
        <v>268</v>
      </c>
      <c r="O269" s="235"/>
      <c r="P269" s="90">
        <f t="shared" si="20"/>
        <v>1</v>
      </c>
      <c r="Q269" s="327"/>
      <c r="R269" s="726"/>
      <c r="S269" s="288" t="s">
        <v>168</v>
      </c>
      <c r="T269" s="178"/>
      <c r="U269" s="91"/>
      <c r="V269" s="674"/>
      <c r="W269" s="342"/>
      <c r="X269" s="153"/>
      <c r="Y269" s="153"/>
      <c r="Z269" s="179"/>
      <c r="AA269" s="155"/>
      <c r="AB269" s="142"/>
      <c r="AC269" s="132"/>
    </row>
    <row r="270" spans="1:29" ht="19.5" customHeight="1">
      <c r="A270" s="359" t="s">
        <v>20</v>
      </c>
      <c r="D270" s="169" t="s">
        <v>801</v>
      </c>
      <c r="E270" s="124" t="s">
        <v>30</v>
      </c>
      <c r="F270" s="318"/>
      <c r="G270" s="622"/>
      <c r="H270" s="623"/>
      <c r="I270" s="624"/>
      <c r="J270" s="517" t="s">
        <v>30</v>
      </c>
      <c r="K270" s="125" t="s">
        <v>979</v>
      </c>
      <c r="L270" s="133"/>
      <c r="M270" s="368">
        <v>1</v>
      </c>
      <c r="N270" s="171" t="s">
        <v>268</v>
      </c>
      <c r="O270" s="235"/>
      <c r="P270" s="90">
        <f t="shared" ref="P270:P306" si="21">IF(O270="",M270,M270-O270)</f>
        <v>1</v>
      </c>
      <c r="Q270" s="327"/>
      <c r="R270" s="726"/>
      <c r="S270" s="288" t="s">
        <v>168</v>
      </c>
      <c r="T270" s="178"/>
      <c r="U270" s="91"/>
      <c r="V270" s="182"/>
      <c r="W270" s="183"/>
      <c r="X270" s="153"/>
      <c r="Y270" s="153"/>
      <c r="Z270" s="179"/>
      <c r="AA270" s="155"/>
      <c r="AB270" s="142"/>
      <c r="AC270" s="132"/>
    </row>
    <row r="271" spans="1:29" s="91" customFormat="1" ht="20.25" customHeight="1">
      <c r="A271" s="359" t="s">
        <v>20</v>
      </c>
      <c r="B271" s="156"/>
      <c r="C271" s="176"/>
      <c r="D271" s="169" t="s">
        <v>563</v>
      </c>
      <c r="E271" s="124" t="s">
        <v>30</v>
      </c>
      <c r="F271" s="320"/>
      <c r="G271" s="627"/>
      <c r="H271" s="631"/>
      <c r="I271" s="624"/>
      <c r="J271" s="517" t="s">
        <v>30</v>
      </c>
      <c r="K271" s="125" t="s">
        <v>984</v>
      </c>
      <c r="L271" s="133"/>
      <c r="M271" s="369">
        <v>1</v>
      </c>
      <c r="N271" s="236" t="s">
        <v>268</v>
      </c>
      <c r="O271" s="235"/>
      <c r="P271" s="90">
        <f t="shared" si="21"/>
        <v>1</v>
      </c>
      <c r="Q271" s="271"/>
      <c r="R271" s="726"/>
      <c r="S271" s="288" t="s">
        <v>168</v>
      </c>
      <c r="T271" s="27"/>
      <c r="U271" s="8"/>
      <c r="V271" s="742"/>
      <c r="W271" s="745"/>
      <c r="X271" s="63"/>
      <c r="Y271" s="63"/>
      <c r="Z271" s="64"/>
      <c r="AA271" s="65"/>
      <c r="AB271"/>
      <c r="AC271"/>
    </row>
    <row r="272" spans="1:29" ht="19.5" customHeight="1">
      <c r="A272" s="359" t="s">
        <v>20</v>
      </c>
      <c r="D272" s="169" t="s">
        <v>633</v>
      </c>
      <c r="E272" s="124" t="s">
        <v>30</v>
      </c>
      <c r="F272" s="318"/>
      <c r="G272" s="622"/>
      <c r="H272" s="623"/>
      <c r="I272" s="624"/>
      <c r="J272" s="517" t="s">
        <v>30</v>
      </c>
      <c r="K272" s="125" t="s">
        <v>981</v>
      </c>
      <c r="L272" s="133"/>
      <c r="M272" s="368">
        <v>1</v>
      </c>
      <c r="N272" s="171" t="s">
        <v>268</v>
      </c>
      <c r="O272" s="235"/>
      <c r="P272" s="90">
        <f t="shared" si="21"/>
        <v>1</v>
      </c>
      <c r="Q272" s="327"/>
      <c r="R272" s="726"/>
      <c r="S272" s="288" t="s">
        <v>168</v>
      </c>
      <c r="T272" s="178"/>
      <c r="U272" s="91"/>
      <c r="V272" s="182"/>
      <c r="W272" s="183"/>
      <c r="X272" s="153"/>
      <c r="Y272" s="153"/>
      <c r="Z272" s="179"/>
      <c r="AA272" s="155"/>
      <c r="AB272" s="142"/>
      <c r="AC272" s="132"/>
    </row>
    <row r="273" spans="1:29" s="168" customFormat="1" ht="19.5" customHeight="1">
      <c r="A273" s="359" t="s">
        <v>71</v>
      </c>
      <c r="B273" s="157"/>
      <c r="C273" s="158"/>
      <c r="D273" s="169" t="s">
        <v>1706</v>
      </c>
      <c r="E273" s="124" t="s">
        <v>574</v>
      </c>
      <c r="F273" s="320" t="s">
        <v>1693</v>
      </c>
      <c r="G273" s="625"/>
      <c r="H273" s="626"/>
      <c r="I273" s="624"/>
      <c r="J273" s="517" t="s">
        <v>1700</v>
      </c>
      <c r="K273" s="125" t="s">
        <v>1301</v>
      </c>
      <c r="L273" s="133" t="s">
        <v>77</v>
      </c>
      <c r="M273" s="370">
        <v>32</v>
      </c>
      <c r="N273" s="127" t="s">
        <v>17</v>
      </c>
      <c r="O273" s="235"/>
      <c r="P273" s="90">
        <f t="shared" si="21"/>
        <v>32</v>
      </c>
      <c r="Q273" s="283"/>
      <c r="R273" s="726"/>
      <c r="S273" s="550">
        <v>43816</v>
      </c>
      <c r="T273" s="159"/>
      <c r="U273" s="160"/>
      <c r="V273" s="512"/>
      <c r="W273" s="160"/>
      <c r="X273" s="163"/>
      <c r="Y273" s="163"/>
      <c r="Z273" s="164"/>
      <c r="AA273" s="165"/>
      <c r="AB273" s="166"/>
      <c r="AC273" s="167"/>
    </row>
    <row r="274" spans="1:29" s="1" customFormat="1" ht="20.25" customHeight="1">
      <c r="A274" s="359" t="s">
        <v>28</v>
      </c>
      <c r="B274"/>
      <c r="C274" s="76"/>
      <c r="D274" s="169" t="s">
        <v>1616</v>
      </c>
      <c r="E274" s="233" t="s">
        <v>30</v>
      </c>
      <c r="F274" s="319">
        <v>43047</v>
      </c>
      <c r="G274" s="627"/>
      <c r="H274" s="631"/>
      <c r="I274" s="624"/>
      <c r="J274" s="519" t="s">
        <v>30</v>
      </c>
      <c r="K274" s="234" t="s">
        <v>955</v>
      </c>
      <c r="L274" s="3"/>
      <c r="M274" s="369">
        <v>1</v>
      </c>
      <c r="N274" s="236" t="s">
        <v>268</v>
      </c>
      <c r="O274" s="235"/>
      <c r="P274" s="90">
        <f t="shared" si="21"/>
        <v>1</v>
      </c>
      <c r="Q274" s="328"/>
      <c r="R274" s="726"/>
      <c r="S274" s="288" t="s">
        <v>168</v>
      </c>
      <c r="T274" s="27"/>
      <c r="U274" s="8"/>
      <c r="V274" s="121"/>
      <c r="W274" s="8"/>
      <c r="X274" s="63"/>
      <c r="Y274" s="63"/>
      <c r="Z274" s="64"/>
      <c r="AA274" s="65"/>
      <c r="AB274"/>
      <c r="AC274"/>
    </row>
    <row r="275" spans="1:29" s="168" customFormat="1" ht="18.75" customHeight="1">
      <c r="A275" s="359" t="s">
        <v>71</v>
      </c>
      <c r="B275" s="157"/>
      <c r="C275" s="158"/>
      <c r="D275" s="581" t="s">
        <v>349</v>
      </c>
      <c r="E275" s="124" t="s">
        <v>574</v>
      </c>
      <c r="F275" s="320" t="s">
        <v>1693</v>
      </c>
      <c r="G275" s="625"/>
      <c r="H275" s="626"/>
      <c r="I275" s="624"/>
      <c r="J275" s="517" t="s">
        <v>1698</v>
      </c>
      <c r="K275" s="125" t="s">
        <v>1301</v>
      </c>
      <c r="L275" s="133" t="s">
        <v>77</v>
      </c>
      <c r="M275" s="370">
        <v>32</v>
      </c>
      <c r="N275" s="127" t="s">
        <v>17</v>
      </c>
      <c r="O275" s="235"/>
      <c r="P275" s="90">
        <f t="shared" si="21"/>
        <v>32</v>
      </c>
      <c r="Q275" s="283"/>
      <c r="R275" s="726"/>
      <c r="S275" s="550">
        <v>43816</v>
      </c>
      <c r="T275" s="159"/>
      <c r="U275" s="160"/>
      <c r="V275" s="512"/>
      <c r="W275" s="160"/>
      <c r="X275" s="163"/>
      <c r="Y275" s="163"/>
      <c r="Z275" s="164"/>
      <c r="AA275" s="165"/>
      <c r="AB275" s="166"/>
      <c r="AC275" s="167"/>
    </row>
    <row r="276" spans="1:29" s="168" customFormat="1" ht="18.75" customHeight="1">
      <c r="A276" s="359" t="s">
        <v>71</v>
      </c>
      <c r="B276" s="157"/>
      <c r="C276" s="158"/>
      <c r="D276" s="581" t="s">
        <v>192</v>
      </c>
      <c r="E276" s="124" t="s">
        <v>574</v>
      </c>
      <c r="F276" s="320" t="s">
        <v>1693</v>
      </c>
      <c r="G276" s="625"/>
      <c r="H276" s="626"/>
      <c r="I276" s="624"/>
      <c r="J276" s="517" t="s">
        <v>1699</v>
      </c>
      <c r="K276" s="125" t="s">
        <v>1301</v>
      </c>
      <c r="L276" s="133" t="s">
        <v>77</v>
      </c>
      <c r="M276" s="370">
        <v>32</v>
      </c>
      <c r="N276" s="127" t="s">
        <v>17</v>
      </c>
      <c r="O276" s="235"/>
      <c r="P276" s="90">
        <f t="shared" si="21"/>
        <v>32</v>
      </c>
      <c r="Q276" s="283"/>
      <c r="R276" s="726"/>
      <c r="S276" s="550">
        <v>43816</v>
      </c>
      <c r="T276" s="159"/>
      <c r="U276" s="160"/>
      <c r="V276" s="512"/>
      <c r="W276" s="160"/>
      <c r="X276" s="163"/>
      <c r="Y276" s="163"/>
      <c r="Z276" s="164"/>
      <c r="AA276" s="165"/>
      <c r="AB276" s="166"/>
      <c r="AC276" s="167"/>
    </row>
    <row r="277" spans="1:29" ht="19.5" customHeight="1">
      <c r="A277" s="359" t="s">
        <v>20</v>
      </c>
      <c r="D277" s="581" t="s">
        <v>102</v>
      </c>
      <c r="E277" s="181" t="s">
        <v>30</v>
      </c>
      <c r="F277" s="318">
        <v>43251</v>
      </c>
      <c r="G277" s="622"/>
      <c r="H277" s="623"/>
      <c r="I277" s="624"/>
      <c r="J277" s="517" t="s">
        <v>30</v>
      </c>
      <c r="K277" s="133" t="s">
        <v>1401</v>
      </c>
      <c r="L277" s="133"/>
      <c r="M277" s="368">
        <v>1</v>
      </c>
      <c r="N277" s="127" t="s">
        <v>268</v>
      </c>
      <c r="O277" s="235"/>
      <c r="P277" s="90">
        <f t="shared" si="21"/>
        <v>1</v>
      </c>
      <c r="Q277" s="327"/>
      <c r="R277" s="726"/>
      <c r="S277" s="277" t="s">
        <v>168</v>
      </c>
      <c r="T277" s="178"/>
      <c r="U277" s="91"/>
      <c r="V277" s="182"/>
      <c r="W277" s="183"/>
      <c r="X277" s="153"/>
      <c r="Y277" s="153"/>
      <c r="Z277" s="179"/>
      <c r="AA277" s="155"/>
      <c r="AB277" s="115"/>
      <c r="AC277" s="132"/>
    </row>
    <row r="278" spans="1:29" s="168" customFormat="1" ht="18.75" customHeight="1">
      <c r="A278" s="359" t="s">
        <v>71</v>
      </c>
      <c r="B278" s="157"/>
      <c r="C278" s="158"/>
      <c r="D278" s="581" t="s">
        <v>1615</v>
      </c>
      <c r="E278" s="124" t="s">
        <v>574</v>
      </c>
      <c r="F278" s="320" t="s">
        <v>1693</v>
      </c>
      <c r="G278" s="625"/>
      <c r="H278" s="626"/>
      <c r="I278" s="624"/>
      <c r="J278" s="517" t="s">
        <v>1697</v>
      </c>
      <c r="K278" s="125" t="s">
        <v>1301</v>
      </c>
      <c r="L278" s="133" t="s">
        <v>77</v>
      </c>
      <c r="M278" s="370">
        <v>32</v>
      </c>
      <c r="N278" s="127" t="s">
        <v>17</v>
      </c>
      <c r="O278" s="235"/>
      <c r="P278" s="90">
        <f t="shared" si="21"/>
        <v>32</v>
      </c>
      <c r="Q278" s="283"/>
      <c r="R278" s="726"/>
      <c r="S278" s="550">
        <v>43816</v>
      </c>
      <c r="T278" s="159"/>
      <c r="U278" s="160"/>
      <c r="V278" s="512"/>
      <c r="W278" s="160"/>
      <c r="X278" s="163"/>
      <c r="Y278" s="163"/>
      <c r="Z278" s="164"/>
      <c r="AA278" s="165"/>
      <c r="AB278" s="166"/>
      <c r="AC278" s="167"/>
    </row>
    <row r="279" spans="1:29" s="168" customFormat="1" ht="18.75" customHeight="1">
      <c r="A279" s="359" t="s">
        <v>71</v>
      </c>
      <c r="B279" s="157"/>
      <c r="C279" s="158"/>
      <c r="D279" s="169" t="s">
        <v>193</v>
      </c>
      <c r="E279" s="124" t="s">
        <v>574</v>
      </c>
      <c r="F279" s="320" t="s">
        <v>1693</v>
      </c>
      <c r="G279" s="625"/>
      <c r="H279" s="626"/>
      <c r="I279" s="624"/>
      <c r="J279" s="517" t="s">
        <v>1696</v>
      </c>
      <c r="K279" s="125" t="s">
        <v>1301</v>
      </c>
      <c r="L279" s="133" t="s">
        <v>77</v>
      </c>
      <c r="M279" s="370">
        <v>32</v>
      </c>
      <c r="N279" s="127" t="s">
        <v>17</v>
      </c>
      <c r="O279" s="235"/>
      <c r="P279" s="90">
        <f t="shared" si="21"/>
        <v>32</v>
      </c>
      <c r="Q279" s="283"/>
      <c r="R279" s="726"/>
      <c r="S279" s="550">
        <v>43816</v>
      </c>
      <c r="T279" s="159"/>
      <c r="U279" s="160"/>
      <c r="V279" s="512"/>
      <c r="W279" s="160"/>
      <c r="X279" s="163"/>
      <c r="Y279" s="163"/>
      <c r="Z279" s="164"/>
      <c r="AA279" s="165"/>
      <c r="AB279" s="166"/>
      <c r="AC279" s="167"/>
    </row>
    <row r="280" spans="1:29" s="141" customFormat="1" ht="20.25" customHeight="1">
      <c r="A280" s="359" t="s">
        <v>66</v>
      </c>
      <c r="B280" s="99"/>
      <c r="C280" s="100"/>
      <c r="D280" s="261" t="s">
        <v>618</v>
      </c>
      <c r="E280" s="262"/>
      <c r="F280" s="355"/>
      <c r="G280" s="627"/>
      <c r="H280" s="631"/>
      <c r="I280" s="624"/>
      <c r="J280" s="516" t="s">
        <v>1211</v>
      </c>
      <c r="K280" s="258" t="s">
        <v>546</v>
      </c>
      <c r="L280" s="354" t="s">
        <v>1212</v>
      </c>
      <c r="M280" s="371">
        <v>1</v>
      </c>
      <c r="N280" s="263" t="s">
        <v>268</v>
      </c>
      <c r="O280" s="235"/>
      <c r="P280" s="90">
        <f t="shared" si="21"/>
        <v>1</v>
      </c>
      <c r="Q280" s="329"/>
      <c r="R280" s="726"/>
      <c r="S280" s="337" t="s">
        <v>168</v>
      </c>
      <c r="T280" s="27"/>
      <c r="U280" s="8"/>
      <c r="V280" s="121"/>
      <c r="W280" s="8"/>
      <c r="X280" s="63"/>
      <c r="Y280" s="63"/>
      <c r="Z280" s="64"/>
      <c r="AA280" s="65"/>
      <c r="AB280"/>
      <c r="AC280"/>
    </row>
    <row r="281" spans="1:29" ht="20.25" customHeight="1">
      <c r="A281" s="377" t="s">
        <v>20</v>
      </c>
      <c r="B281" s="186"/>
      <c r="C281" s="188"/>
      <c r="D281" s="169" t="s">
        <v>516</v>
      </c>
      <c r="E281" s="124" t="s">
        <v>30</v>
      </c>
      <c r="F281" s="318"/>
      <c r="G281" s="622"/>
      <c r="H281" s="623"/>
      <c r="I281" s="624"/>
      <c r="J281" s="517" t="s">
        <v>30</v>
      </c>
      <c r="K281" s="125" t="s">
        <v>1962</v>
      </c>
      <c r="L281" s="133"/>
      <c r="M281" s="368" t="s">
        <v>1753</v>
      </c>
      <c r="N281" s="171" t="s">
        <v>268</v>
      </c>
      <c r="O281" s="235"/>
      <c r="P281" s="90" t="str">
        <f t="shared" si="21"/>
        <v xml:space="preserve">                   </v>
      </c>
      <c r="Q281" s="326"/>
      <c r="R281" s="726"/>
      <c r="S281" s="277" t="s">
        <v>168</v>
      </c>
      <c r="T281" s="42"/>
      <c r="U281" s="45"/>
      <c r="V281" s="740"/>
      <c r="W281" s="740"/>
      <c r="X281" s="60"/>
      <c r="Y281" s="60"/>
      <c r="Z281" s="61"/>
      <c r="AA281" s="62"/>
      <c r="AB281" s="142"/>
      <c r="AC281" s="117"/>
    </row>
    <row r="282" spans="1:29" s="203" customFormat="1" ht="21" customHeight="1">
      <c r="A282" s="359" t="s">
        <v>28</v>
      </c>
      <c r="B282" s="194"/>
      <c r="C282" s="202" t="str">
        <f>K$2</f>
        <v>10/08/2019</v>
      </c>
      <c r="D282" s="169" t="s">
        <v>520</v>
      </c>
      <c r="E282" s="124" t="s">
        <v>1604</v>
      </c>
      <c r="F282" s="319" t="s">
        <v>2005</v>
      </c>
      <c r="G282" s="629"/>
      <c r="H282" s="630"/>
      <c r="I282" s="624"/>
      <c r="J282" s="718" t="s">
        <v>1080</v>
      </c>
      <c r="K282" s="255" t="s">
        <v>899</v>
      </c>
      <c r="L282" s="3" t="s">
        <v>1081</v>
      </c>
      <c r="M282" s="369">
        <v>28</v>
      </c>
      <c r="N282" s="236" t="s">
        <v>17</v>
      </c>
      <c r="O282" s="369"/>
      <c r="P282" s="90">
        <f t="shared" si="21"/>
        <v>28</v>
      </c>
      <c r="Q282" s="271"/>
      <c r="R282" s="726"/>
      <c r="S282" s="277" t="s">
        <v>2007</v>
      </c>
      <c r="T282"/>
      <c r="U282"/>
      <c r="V282" s="341"/>
      <c r="W282" s="348"/>
      <c r="X282" s="256"/>
      <c r="Y282" s="63"/>
      <c r="Z282" s="257"/>
      <c r="AA282" s="65"/>
      <c r="AB282"/>
      <c r="AC282"/>
    </row>
    <row r="283" spans="1:29" ht="20.25" customHeight="1">
      <c r="A283" s="359" t="s">
        <v>52</v>
      </c>
      <c r="D283" s="169" t="s">
        <v>524</v>
      </c>
      <c r="E283" s="124" t="s">
        <v>1875</v>
      </c>
      <c r="F283" s="321">
        <v>43591</v>
      </c>
      <c r="G283" s="625"/>
      <c r="H283" s="626"/>
      <c r="I283" s="624"/>
      <c r="J283" s="506" t="s">
        <v>1876</v>
      </c>
      <c r="K283" s="125" t="s">
        <v>1877</v>
      </c>
      <c r="L283" s="133" t="s">
        <v>1878</v>
      </c>
      <c r="M283" s="370">
        <v>25.6</v>
      </c>
      <c r="N283" s="171" t="s">
        <v>17</v>
      </c>
      <c r="O283" s="235">
        <v>0.2</v>
      </c>
      <c r="P283" s="90">
        <f t="shared" si="21"/>
        <v>25.400000000000002</v>
      </c>
      <c r="Q283" s="332"/>
      <c r="R283" s="726" t="s">
        <v>2296</v>
      </c>
      <c r="S283" s="288">
        <v>43842</v>
      </c>
      <c r="T283" s="27"/>
      <c r="U283" s="81"/>
      <c r="V283" s="82"/>
      <c r="W283" s="81"/>
      <c r="X283" s="60"/>
      <c r="Y283" s="60"/>
      <c r="Z283" s="83"/>
      <c r="AA283" s="62"/>
      <c r="AB283" s="142"/>
      <c r="AC283" s="117"/>
    </row>
    <row r="284" spans="1:29" s="141" customFormat="1" ht="19.5" customHeight="1">
      <c r="A284" s="377" t="s">
        <v>20</v>
      </c>
      <c r="B284" s="186"/>
      <c r="C284" s="188"/>
      <c r="D284" s="169" t="s">
        <v>333</v>
      </c>
      <c r="E284" s="124" t="s">
        <v>30</v>
      </c>
      <c r="F284" s="319">
        <v>43446</v>
      </c>
      <c r="G284" s="627"/>
      <c r="H284" s="631"/>
      <c r="I284" s="632" t="s">
        <v>2365</v>
      </c>
      <c r="J284" s="517" t="s">
        <v>30</v>
      </c>
      <c r="K284" s="125" t="s">
        <v>2075</v>
      </c>
      <c r="L284" s="125"/>
      <c r="M284" s="514">
        <v>1</v>
      </c>
      <c r="N284" s="127" t="s">
        <v>268</v>
      </c>
      <c r="O284" s="235"/>
      <c r="P284" s="90">
        <f t="shared" si="21"/>
        <v>1</v>
      </c>
      <c r="Q284" s="382"/>
      <c r="R284" s="726"/>
      <c r="S284" s="383" t="s">
        <v>168</v>
      </c>
      <c r="T284" s="27"/>
      <c r="U284" s="81"/>
      <c r="V284" s="82"/>
      <c r="W284" s="81"/>
      <c r="X284" s="63"/>
      <c r="Y284" s="139"/>
      <c r="Z284" s="131"/>
      <c r="AA284" s="140"/>
    </row>
    <row r="285" spans="1:29" s="168" customFormat="1" ht="21.75" customHeight="1">
      <c r="A285" s="359" t="s">
        <v>66</v>
      </c>
      <c r="B285" s="157"/>
      <c r="C285" s="158"/>
      <c r="D285" s="51" t="s">
        <v>333</v>
      </c>
      <c r="E285" s="536" t="s">
        <v>2029</v>
      </c>
      <c r="F285" s="601">
        <v>43514</v>
      </c>
      <c r="G285" s="625"/>
      <c r="H285" s="626"/>
      <c r="I285" s="624" t="s">
        <v>2366</v>
      </c>
      <c r="J285" s="610" t="s">
        <v>2030</v>
      </c>
      <c r="K285" s="541" t="s">
        <v>375</v>
      </c>
      <c r="L285" s="252" t="s">
        <v>348</v>
      </c>
      <c r="M285" s="602">
        <v>43</v>
      </c>
      <c r="N285" s="547" t="s">
        <v>17</v>
      </c>
      <c r="O285" s="537">
        <v>43</v>
      </c>
      <c r="P285" s="603">
        <f>IF(O285="",M285,M285-O285)</f>
        <v>0</v>
      </c>
      <c r="Q285" s="283"/>
      <c r="R285" s="726"/>
      <c r="S285" s="383">
        <v>43819</v>
      </c>
      <c r="T285" s="159"/>
      <c r="U285" s="160"/>
      <c r="V285" s="512"/>
      <c r="W285" s="160"/>
      <c r="X285" s="163"/>
      <c r="Y285" s="163"/>
      <c r="Z285" s="164"/>
      <c r="AA285" s="165"/>
      <c r="AB285" s="166"/>
      <c r="AC285" s="167"/>
    </row>
    <row r="286" spans="1:29" s="1" customFormat="1" ht="20.25" customHeight="1">
      <c r="A286" s="359" t="s">
        <v>20</v>
      </c>
      <c r="B286"/>
      <c r="C286" s="76"/>
      <c r="D286" s="169" t="s">
        <v>255</v>
      </c>
      <c r="E286" s="233" t="s">
        <v>30</v>
      </c>
      <c r="F286" s="319"/>
      <c r="G286" s="627"/>
      <c r="H286" s="631"/>
      <c r="I286" s="624"/>
      <c r="J286" s="519" t="s">
        <v>30</v>
      </c>
      <c r="K286" s="234" t="s">
        <v>958</v>
      </c>
      <c r="L286" s="3"/>
      <c r="M286" s="369">
        <v>1</v>
      </c>
      <c r="N286" s="236" t="s">
        <v>268</v>
      </c>
      <c r="O286" s="235"/>
      <c r="P286" s="90">
        <f t="shared" si="21"/>
        <v>1</v>
      </c>
      <c r="Q286" s="328"/>
      <c r="R286" s="726"/>
      <c r="S286" s="288" t="s">
        <v>168</v>
      </c>
      <c r="T286" s="27"/>
      <c r="U286" s="8"/>
      <c r="V286" s="121"/>
      <c r="W286" s="8"/>
      <c r="X286" s="63"/>
      <c r="Y286" s="63"/>
      <c r="Z286" s="64"/>
      <c r="AA286" s="65"/>
      <c r="AB286"/>
      <c r="AC286"/>
    </row>
    <row r="287" spans="1:29" s="168" customFormat="1" ht="20.25">
      <c r="A287" s="359" t="s">
        <v>28</v>
      </c>
      <c r="B287" s="157"/>
      <c r="C287" s="158"/>
      <c r="D287" s="169" t="s">
        <v>640</v>
      </c>
      <c r="E287" s="124" t="s">
        <v>1990</v>
      </c>
      <c r="F287" s="320" t="s">
        <v>1988</v>
      </c>
      <c r="G287" s="625"/>
      <c r="H287" s="626"/>
      <c r="I287" s="624"/>
      <c r="J287" s="506" t="s">
        <v>2146</v>
      </c>
      <c r="K287" s="125" t="s">
        <v>2147</v>
      </c>
      <c r="L287" s="133" t="s">
        <v>1989</v>
      </c>
      <c r="M287" s="370">
        <v>15</v>
      </c>
      <c r="N287" s="236" t="s">
        <v>17</v>
      </c>
      <c r="O287" s="126"/>
      <c r="P287" s="90">
        <f t="shared" si="21"/>
        <v>15</v>
      </c>
      <c r="Q287" s="498"/>
      <c r="R287" s="726"/>
      <c r="S287" s="277" t="s">
        <v>168</v>
      </c>
      <c r="T287" s="159"/>
      <c r="U287" s="160"/>
      <c r="V287" s="512"/>
      <c r="W287" s="160"/>
      <c r="X287" s="163"/>
      <c r="Y287" s="163"/>
      <c r="Z287" s="164"/>
      <c r="AA287" s="165"/>
      <c r="AB287" s="166"/>
      <c r="AC287" s="167"/>
    </row>
    <row r="288" spans="1:29" s="168" customFormat="1" ht="20.25">
      <c r="A288" s="359" t="s">
        <v>28</v>
      </c>
      <c r="B288" s="157"/>
      <c r="C288" s="158"/>
      <c r="D288" s="169" t="s">
        <v>640</v>
      </c>
      <c r="E288" s="124" t="s">
        <v>1991</v>
      </c>
      <c r="F288" s="320" t="s">
        <v>1988</v>
      </c>
      <c r="G288" s="625"/>
      <c r="H288" s="626"/>
      <c r="I288" s="624"/>
      <c r="J288" s="506" t="s">
        <v>1992</v>
      </c>
      <c r="K288" s="125" t="s">
        <v>828</v>
      </c>
      <c r="L288" s="133" t="s">
        <v>1993</v>
      </c>
      <c r="M288" s="370">
        <v>5</v>
      </c>
      <c r="N288" s="236" t="s">
        <v>17</v>
      </c>
      <c r="O288" s="126"/>
      <c r="P288" s="90">
        <f t="shared" si="21"/>
        <v>5</v>
      </c>
      <c r="Q288" s="498"/>
      <c r="R288" s="726"/>
      <c r="S288" s="277" t="s">
        <v>168</v>
      </c>
      <c r="T288" s="159"/>
      <c r="U288" s="160"/>
      <c r="V288" s="512"/>
      <c r="W288" s="160"/>
      <c r="X288" s="163"/>
      <c r="Y288" s="163"/>
      <c r="Z288" s="164"/>
      <c r="AA288" s="165"/>
      <c r="AB288" s="166"/>
      <c r="AC288" s="167"/>
    </row>
    <row r="289" spans="1:38" s="141" customFormat="1" ht="20.25" customHeight="1">
      <c r="A289" s="359" t="s">
        <v>66</v>
      </c>
      <c r="B289" s="99"/>
      <c r="C289" s="100"/>
      <c r="D289" s="261" t="s">
        <v>371</v>
      </c>
      <c r="E289" s="262"/>
      <c r="F289" s="355"/>
      <c r="G289" s="627"/>
      <c r="H289" s="631"/>
      <c r="I289" s="624"/>
      <c r="J289" s="516" t="s">
        <v>1211</v>
      </c>
      <c r="K289" s="258" t="s">
        <v>546</v>
      </c>
      <c r="L289" s="354" t="s">
        <v>1212</v>
      </c>
      <c r="M289" s="371">
        <v>1</v>
      </c>
      <c r="N289" s="263" t="s">
        <v>268</v>
      </c>
      <c r="O289" s="235"/>
      <c r="P289" s="90">
        <f t="shared" si="21"/>
        <v>1</v>
      </c>
      <c r="Q289" s="329"/>
      <c r="R289" s="726"/>
      <c r="S289" s="337" t="s">
        <v>168</v>
      </c>
      <c r="T289" s="27"/>
      <c r="U289" s="8"/>
      <c r="V289" s="121"/>
      <c r="W289" s="8"/>
      <c r="X289" s="63"/>
      <c r="Y289" s="63"/>
      <c r="Z289" s="64"/>
      <c r="AA289" s="65"/>
      <c r="AB289"/>
      <c r="AC289"/>
    </row>
    <row r="290" spans="1:38" s="141" customFormat="1" ht="20.25" customHeight="1">
      <c r="A290" s="359" t="s">
        <v>66</v>
      </c>
      <c r="B290" s="99"/>
      <c r="C290" s="100"/>
      <c r="D290" s="261" t="s">
        <v>742</v>
      </c>
      <c r="E290" s="262"/>
      <c r="F290" s="355"/>
      <c r="G290" s="627"/>
      <c r="H290" s="631"/>
      <c r="I290" s="624"/>
      <c r="J290" s="516" t="s">
        <v>1211</v>
      </c>
      <c r="K290" s="258" t="s">
        <v>546</v>
      </c>
      <c r="L290" s="354" t="s">
        <v>1212</v>
      </c>
      <c r="M290" s="371">
        <v>1</v>
      </c>
      <c r="N290" s="263" t="s">
        <v>268</v>
      </c>
      <c r="O290" s="235"/>
      <c r="P290" s="90">
        <f t="shared" si="21"/>
        <v>1</v>
      </c>
      <c r="Q290" s="329"/>
      <c r="R290" s="726"/>
      <c r="S290" s="337" t="s">
        <v>168</v>
      </c>
      <c r="T290" s="27"/>
      <c r="U290" s="8"/>
      <c r="V290" s="121"/>
      <c r="W290" s="8"/>
      <c r="X290" s="63"/>
      <c r="Y290" s="63"/>
      <c r="Z290" s="64"/>
      <c r="AA290" s="65"/>
      <c r="AB290"/>
      <c r="AC290"/>
    </row>
    <row r="291" spans="1:38" s="1" customFormat="1" ht="20.25" customHeight="1">
      <c r="A291" s="359" t="s">
        <v>20</v>
      </c>
      <c r="B291"/>
      <c r="C291" s="76"/>
      <c r="D291" s="169" t="s">
        <v>332</v>
      </c>
      <c r="E291" s="233" t="s">
        <v>30</v>
      </c>
      <c r="F291" s="319"/>
      <c r="G291" s="627"/>
      <c r="H291" s="631"/>
      <c r="I291" s="624"/>
      <c r="J291" s="519" t="s">
        <v>30</v>
      </c>
      <c r="K291" s="234" t="s">
        <v>987</v>
      </c>
      <c r="L291" s="3"/>
      <c r="M291" s="369">
        <v>1</v>
      </c>
      <c r="N291" s="236" t="s">
        <v>268</v>
      </c>
      <c r="O291" s="235"/>
      <c r="P291" s="90">
        <f t="shared" si="21"/>
        <v>1</v>
      </c>
      <c r="Q291" s="328"/>
      <c r="R291" s="726"/>
      <c r="S291" s="288" t="s">
        <v>168</v>
      </c>
      <c r="T291" s="27"/>
      <c r="U291" s="8"/>
      <c r="V291" s="121"/>
      <c r="W291" s="8"/>
      <c r="X291" s="63"/>
      <c r="Y291" s="63"/>
      <c r="Z291" s="64"/>
      <c r="AA291" s="65"/>
      <c r="AB291"/>
      <c r="AC291"/>
    </row>
    <row r="292" spans="1:38" ht="20.25" customHeight="1">
      <c r="A292" s="359" t="s">
        <v>28</v>
      </c>
      <c r="C292" s="84"/>
      <c r="D292" s="169" t="s">
        <v>761</v>
      </c>
      <c r="E292" s="124" t="s">
        <v>1482</v>
      </c>
      <c r="F292" s="323">
        <v>43680</v>
      </c>
      <c r="G292" s="627"/>
      <c r="H292" s="631"/>
      <c r="I292" s="624"/>
      <c r="J292" s="506" t="s">
        <v>1479</v>
      </c>
      <c r="K292" s="125" t="s">
        <v>1480</v>
      </c>
      <c r="L292" s="133" t="s">
        <v>1481</v>
      </c>
      <c r="M292" s="370">
        <v>5</v>
      </c>
      <c r="N292" s="127" t="s">
        <v>17</v>
      </c>
      <c r="O292" s="235"/>
      <c r="P292" s="90">
        <f t="shared" si="21"/>
        <v>5</v>
      </c>
      <c r="Q292" s="271"/>
      <c r="R292" s="726"/>
      <c r="S292" s="383">
        <v>44043</v>
      </c>
      <c r="T292" s="54"/>
      <c r="U292" s="73"/>
      <c r="V292" s="74"/>
      <c r="W292" s="73"/>
      <c r="X292" s="66"/>
      <c r="Y292" s="66"/>
      <c r="Z292" s="67"/>
      <c r="AA292" s="68"/>
      <c r="AB292" s="142"/>
      <c r="AC292" s="117"/>
    </row>
    <row r="293" spans="1:38" ht="20.25" customHeight="1">
      <c r="A293" s="359" t="s">
        <v>28</v>
      </c>
      <c r="C293" s="84"/>
      <c r="D293" s="169" t="s">
        <v>761</v>
      </c>
      <c r="E293" s="124" t="s">
        <v>2176</v>
      </c>
      <c r="F293" s="323">
        <v>43671</v>
      </c>
      <c r="G293" s="627"/>
      <c r="H293" s="631"/>
      <c r="I293" s="624"/>
      <c r="J293" s="506" t="s">
        <v>2173</v>
      </c>
      <c r="K293" s="125" t="s">
        <v>2174</v>
      </c>
      <c r="L293" s="133" t="s">
        <v>2175</v>
      </c>
      <c r="M293" s="370">
        <v>1</v>
      </c>
      <c r="N293" s="127" t="s">
        <v>17</v>
      </c>
      <c r="O293" s="235"/>
      <c r="P293" s="90">
        <f t="shared" si="21"/>
        <v>1</v>
      </c>
      <c r="Q293" s="271"/>
      <c r="R293" s="726"/>
      <c r="S293" s="383" t="s">
        <v>1904</v>
      </c>
      <c r="T293" s="54"/>
      <c r="U293" s="73"/>
      <c r="V293" s="74"/>
      <c r="W293" s="73"/>
      <c r="X293" s="66"/>
      <c r="Y293" s="66"/>
      <c r="Z293" s="67"/>
      <c r="AA293" s="68"/>
      <c r="AB293" s="142"/>
      <c r="AC293" s="117"/>
    </row>
    <row r="294" spans="1:38" ht="21.75" customHeight="1">
      <c r="A294" s="377" t="s">
        <v>66</v>
      </c>
      <c r="B294" s="186"/>
      <c r="C294" s="188"/>
      <c r="D294" s="169" t="s">
        <v>761</v>
      </c>
      <c r="E294" s="124" t="s">
        <v>241</v>
      </c>
      <c r="F294" s="319">
        <v>43353</v>
      </c>
      <c r="G294" s="627"/>
      <c r="H294" s="627"/>
      <c r="I294" s="624"/>
      <c r="J294" s="508" t="s">
        <v>239</v>
      </c>
      <c r="K294" s="379" t="s">
        <v>1362</v>
      </c>
      <c r="L294" s="125" t="s">
        <v>242</v>
      </c>
      <c r="M294" s="380">
        <v>6</v>
      </c>
      <c r="N294" s="236" t="s">
        <v>17</v>
      </c>
      <c r="O294" s="235"/>
      <c r="P294" s="90">
        <f t="shared" si="21"/>
        <v>6</v>
      </c>
      <c r="Q294" s="735" t="s">
        <v>2155</v>
      </c>
      <c r="R294" s="726"/>
      <c r="S294" s="383">
        <v>43602</v>
      </c>
      <c r="T294" s="27"/>
      <c r="U294" s="81"/>
      <c r="V294" s="82"/>
      <c r="W294" s="81"/>
      <c r="X294" s="63"/>
      <c r="Y294" s="139">
        <v>24.76</v>
      </c>
      <c r="Z294" s="131"/>
      <c r="AA294" s="140"/>
      <c r="AB294" s="141"/>
      <c r="AC294" s="141"/>
    </row>
    <row r="295" spans="1:38" ht="21.75" customHeight="1">
      <c r="A295" s="359" t="s">
        <v>28</v>
      </c>
      <c r="B295" s="186"/>
      <c r="C295" s="188"/>
      <c r="D295" s="169" t="s">
        <v>761</v>
      </c>
      <c r="E295" s="124"/>
      <c r="F295" s="319" t="s">
        <v>1754</v>
      </c>
      <c r="G295" s="627"/>
      <c r="H295" s="631"/>
      <c r="I295" s="624"/>
      <c r="J295" s="718" t="s">
        <v>1763</v>
      </c>
      <c r="K295" s="125"/>
      <c r="L295" s="125" t="s">
        <v>1764</v>
      </c>
      <c r="M295" s="514">
        <v>3</v>
      </c>
      <c r="N295" s="236" t="s">
        <v>17</v>
      </c>
      <c r="O295" s="235"/>
      <c r="P295" s="90">
        <f t="shared" si="21"/>
        <v>3</v>
      </c>
      <c r="Q295" s="271"/>
      <c r="R295" s="726"/>
      <c r="S295" s="383" t="s">
        <v>168</v>
      </c>
      <c r="T295" s="27"/>
      <c r="U295" s="81"/>
      <c r="V295" s="82"/>
      <c r="W295" s="81"/>
      <c r="X295" s="63"/>
      <c r="Y295" s="139"/>
      <c r="Z295" s="131"/>
      <c r="AA295" s="140"/>
      <c r="AB295" s="141"/>
      <c r="AC295" s="141"/>
    </row>
    <row r="296" spans="1:38" ht="21.75" customHeight="1">
      <c r="A296" s="359" t="s">
        <v>28</v>
      </c>
      <c r="B296" s="186"/>
      <c r="C296" s="188"/>
      <c r="D296" s="169" t="s">
        <v>761</v>
      </c>
      <c r="E296" s="124" t="s">
        <v>1771</v>
      </c>
      <c r="F296" s="319" t="s">
        <v>1754</v>
      </c>
      <c r="G296" s="627"/>
      <c r="H296" s="631"/>
      <c r="I296" s="624"/>
      <c r="J296" s="718" t="s">
        <v>1763</v>
      </c>
      <c r="K296" s="125"/>
      <c r="L296" s="125" t="s">
        <v>1765</v>
      </c>
      <c r="M296" s="514">
        <v>1</v>
      </c>
      <c r="N296" s="236" t="s">
        <v>17</v>
      </c>
      <c r="O296" s="235"/>
      <c r="P296" s="90">
        <f t="shared" si="21"/>
        <v>1</v>
      </c>
      <c r="Q296" s="382"/>
      <c r="R296" s="726"/>
      <c r="S296" s="383" t="s">
        <v>168</v>
      </c>
      <c r="T296" s="27"/>
      <c r="U296" s="81"/>
      <c r="V296" s="738"/>
      <c r="W296" s="744"/>
      <c r="X296" s="63"/>
      <c r="Y296" s="139"/>
      <c r="Z296" s="131"/>
      <c r="AA296" s="140"/>
      <c r="AB296" s="141"/>
      <c r="AC296" s="141"/>
    </row>
    <row r="297" spans="1:38" s="168" customFormat="1" ht="21.75" customHeight="1">
      <c r="A297" s="359" t="s">
        <v>20</v>
      </c>
      <c r="B297" s="157"/>
      <c r="C297" s="158"/>
      <c r="D297" s="169" t="s">
        <v>761</v>
      </c>
      <c r="E297" s="124" t="s">
        <v>2183</v>
      </c>
      <c r="F297" s="320">
        <v>43676</v>
      </c>
      <c r="G297" s="625"/>
      <c r="H297" s="626"/>
      <c r="I297" s="624"/>
      <c r="J297" s="506" t="s">
        <v>2181</v>
      </c>
      <c r="K297" s="125" t="s">
        <v>2182</v>
      </c>
      <c r="L297" s="133" t="s">
        <v>1361</v>
      </c>
      <c r="M297" s="714">
        <v>1</v>
      </c>
      <c r="N297" s="127" t="s">
        <v>17</v>
      </c>
      <c r="O297" s="235"/>
      <c r="P297" s="90">
        <f t="shared" si="21"/>
        <v>1</v>
      </c>
      <c r="Q297" s="283"/>
      <c r="R297" s="726"/>
      <c r="S297" s="383" t="s">
        <v>168</v>
      </c>
      <c r="T297" s="159"/>
      <c r="U297" s="160"/>
      <c r="V297" s="512"/>
      <c r="W297" s="160"/>
      <c r="X297" s="163"/>
      <c r="Y297" s="163"/>
      <c r="Z297" s="164"/>
      <c r="AA297" s="165"/>
      <c r="AB297" s="166"/>
      <c r="AC297" s="167"/>
    </row>
    <row r="298" spans="1:38" ht="20.25" customHeight="1">
      <c r="A298" s="359" t="s">
        <v>28</v>
      </c>
      <c r="D298" s="169" t="s">
        <v>761</v>
      </c>
      <c r="E298" s="124" t="s">
        <v>1600</v>
      </c>
      <c r="F298" s="321" t="s">
        <v>1932</v>
      </c>
      <c r="G298" s="625"/>
      <c r="H298" s="626"/>
      <c r="I298" s="624"/>
      <c r="J298" s="506" t="s">
        <v>1601</v>
      </c>
      <c r="K298" s="125" t="s">
        <v>950</v>
      </c>
      <c r="L298" s="133" t="s">
        <v>1602</v>
      </c>
      <c r="M298" s="370">
        <v>3</v>
      </c>
      <c r="N298" s="171" t="s">
        <v>17</v>
      </c>
      <c r="O298" s="235"/>
      <c r="P298" s="90">
        <f t="shared" si="21"/>
        <v>3</v>
      </c>
      <c r="Q298" s="283"/>
      <c r="R298" s="726"/>
      <c r="S298" s="288" t="s">
        <v>1852</v>
      </c>
      <c r="T298" s="27"/>
      <c r="U298" s="81"/>
      <c r="V298" s="82"/>
      <c r="W298" s="81"/>
      <c r="X298" s="60"/>
      <c r="Y298" s="60"/>
      <c r="Z298" s="83"/>
      <c r="AA298" s="62"/>
      <c r="AB298" s="142"/>
      <c r="AC298" s="117"/>
    </row>
    <row r="299" spans="1:38" ht="21.75" customHeight="1">
      <c r="A299" s="377" t="s">
        <v>28</v>
      </c>
      <c r="B299" s="186"/>
      <c r="C299" s="188"/>
      <c r="D299" s="169" t="s">
        <v>761</v>
      </c>
      <c r="E299" s="124" t="s">
        <v>1664</v>
      </c>
      <c r="F299" s="319">
        <v>43472</v>
      </c>
      <c r="G299" s="627"/>
      <c r="H299" s="631"/>
      <c r="I299" s="624"/>
      <c r="J299" s="718" t="s">
        <v>1665</v>
      </c>
      <c r="K299" s="125" t="s">
        <v>1666</v>
      </c>
      <c r="L299" s="125" t="s">
        <v>1389</v>
      </c>
      <c r="M299" s="514">
        <v>5</v>
      </c>
      <c r="N299" s="236" t="s">
        <v>17</v>
      </c>
      <c r="O299" s="235"/>
      <c r="P299" s="90">
        <f t="shared" si="21"/>
        <v>5</v>
      </c>
      <c r="Q299" s="382"/>
      <c r="R299" s="726"/>
      <c r="S299" s="383">
        <v>44178</v>
      </c>
      <c r="T299" s="27"/>
      <c r="U299" s="81"/>
      <c r="V299" s="82"/>
      <c r="W299" s="81"/>
      <c r="X299" s="63"/>
      <c r="Y299" s="139"/>
      <c r="Z299" s="131"/>
      <c r="AA299" s="140"/>
      <c r="AB299" s="141"/>
      <c r="AC299" s="141"/>
    </row>
    <row r="300" spans="1:38" s="649" customFormat="1" ht="19.5" customHeight="1">
      <c r="A300" s="359" t="s">
        <v>20</v>
      </c>
      <c r="B300" s="661"/>
      <c r="C300" s="662"/>
      <c r="D300" s="169" t="s">
        <v>761</v>
      </c>
      <c r="E300" s="124" t="s">
        <v>1726</v>
      </c>
      <c r="F300" s="320" t="s">
        <v>1988</v>
      </c>
      <c r="G300" s="625"/>
      <c r="H300" s="626"/>
      <c r="I300" s="624"/>
      <c r="J300" s="506" t="s">
        <v>1347</v>
      </c>
      <c r="K300" s="125" t="s">
        <v>831</v>
      </c>
      <c r="L300" s="133" t="s">
        <v>86</v>
      </c>
      <c r="M300" s="714">
        <v>4</v>
      </c>
      <c r="N300" s="127" t="s">
        <v>17</v>
      </c>
      <c r="O300" s="126"/>
      <c r="P300" s="90">
        <f t="shared" si="21"/>
        <v>4</v>
      </c>
      <c r="Q300" s="498"/>
      <c r="R300" s="726"/>
      <c r="S300" s="277" t="s">
        <v>2001</v>
      </c>
      <c r="T300" s="159"/>
      <c r="U300" s="160"/>
      <c r="V300" s="664"/>
      <c r="W300" s="665"/>
      <c r="X300" s="666"/>
      <c r="Y300" s="666"/>
      <c r="Z300" s="667"/>
      <c r="AA300" s="668"/>
      <c r="AB300" s="669"/>
      <c r="AC300" s="670"/>
      <c r="AD300" s="671"/>
      <c r="AE300" s="671"/>
      <c r="AF300" s="671"/>
      <c r="AG300" s="671"/>
      <c r="AH300" s="671"/>
      <c r="AI300" s="671"/>
      <c r="AJ300" s="671"/>
      <c r="AK300" s="671"/>
      <c r="AL300" s="671"/>
    </row>
    <row r="301" spans="1:38" ht="20.25">
      <c r="A301" s="377" t="s">
        <v>28</v>
      </c>
      <c r="B301" s="186"/>
      <c r="C301" s="188"/>
      <c r="D301" s="169" t="s">
        <v>519</v>
      </c>
      <c r="E301" s="124" t="s">
        <v>1986</v>
      </c>
      <c r="F301" s="639" t="s">
        <v>1973</v>
      </c>
      <c r="G301" s="627"/>
      <c r="H301" s="627"/>
      <c r="I301" s="628"/>
      <c r="J301" s="508" t="s">
        <v>1410</v>
      </c>
      <c r="K301" s="379" t="s">
        <v>376</v>
      </c>
      <c r="L301" s="125" t="s">
        <v>1411</v>
      </c>
      <c r="M301" s="651">
        <v>25</v>
      </c>
      <c r="N301" s="127" t="s">
        <v>17</v>
      </c>
      <c r="O301" s="126"/>
      <c r="P301" s="90">
        <f t="shared" si="21"/>
        <v>25</v>
      </c>
      <c r="Q301" s="326"/>
      <c r="R301" s="726"/>
      <c r="S301" s="383" t="s">
        <v>1976</v>
      </c>
      <c r="T301" s="653"/>
      <c r="U301" s="654"/>
      <c r="V301" s="655"/>
      <c r="W301" s="654"/>
      <c r="X301" s="656"/>
      <c r="Y301" s="657"/>
      <c r="Z301" s="658"/>
      <c r="AA301" s="659"/>
      <c r="AB301" s="660"/>
      <c r="AC301" s="660"/>
    </row>
    <row r="302" spans="1:38" s="141" customFormat="1" ht="20.25" customHeight="1">
      <c r="A302" s="377" t="s">
        <v>20</v>
      </c>
      <c r="B302" s="186"/>
      <c r="C302" s="188"/>
      <c r="D302" s="169" t="s">
        <v>764</v>
      </c>
      <c r="E302" s="181" t="s">
        <v>30</v>
      </c>
      <c r="F302" s="318">
        <v>43278</v>
      </c>
      <c r="G302" s="622"/>
      <c r="H302" s="623"/>
      <c r="I302" s="624"/>
      <c r="J302" s="517" t="s">
        <v>30</v>
      </c>
      <c r="K302" s="133" t="s">
        <v>1422</v>
      </c>
      <c r="L302" s="133"/>
      <c r="M302" s="368">
        <v>1</v>
      </c>
      <c r="N302" s="127" t="s">
        <v>268</v>
      </c>
      <c r="O302" s="235"/>
      <c r="P302" s="90">
        <f t="shared" si="21"/>
        <v>1</v>
      </c>
      <c r="Q302" s="327"/>
      <c r="R302" s="726"/>
      <c r="S302" s="277" t="s">
        <v>168</v>
      </c>
      <c r="T302" s="178"/>
      <c r="U302" s="91"/>
      <c r="V302" s="182"/>
      <c r="W302" s="183"/>
      <c r="X302" s="153"/>
      <c r="Y302" s="153"/>
      <c r="Z302" s="179"/>
      <c r="AA302" s="155"/>
      <c r="AB302" s="115"/>
      <c r="AC302" s="132"/>
    </row>
    <row r="303" spans="1:38" s="1" customFormat="1" ht="20.25" customHeight="1">
      <c r="A303" s="359" t="s">
        <v>20</v>
      </c>
      <c r="B303"/>
      <c r="C303" s="76"/>
      <c r="D303" s="169" t="s">
        <v>550</v>
      </c>
      <c r="E303" s="233" t="s">
        <v>30</v>
      </c>
      <c r="F303" s="319">
        <v>43047</v>
      </c>
      <c r="G303" s="627"/>
      <c r="H303" s="631"/>
      <c r="I303" s="624"/>
      <c r="J303" s="519" t="s">
        <v>30</v>
      </c>
      <c r="K303" s="234" t="s">
        <v>1283</v>
      </c>
      <c r="L303" s="3"/>
      <c r="M303" s="369">
        <v>1</v>
      </c>
      <c r="N303" s="236" t="s">
        <v>268</v>
      </c>
      <c r="O303" s="235"/>
      <c r="P303" s="90">
        <f t="shared" si="21"/>
        <v>1</v>
      </c>
      <c r="Q303" s="328"/>
      <c r="R303" s="726"/>
      <c r="S303" s="288" t="s">
        <v>168</v>
      </c>
      <c r="T303" s="27"/>
      <c r="U303" s="8"/>
      <c r="V303" s="121"/>
      <c r="W303" s="8"/>
      <c r="X303" s="63"/>
      <c r="Y303" s="63"/>
      <c r="Z303" s="64"/>
      <c r="AA303" s="65"/>
      <c r="AB303"/>
      <c r="AC303"/>
    </row>
    <row r="304" spans="1:38" s="168" customFormat="1" ht="18.75" customHeight="1">
      <c r="A304" s="359" t="s">
        <v>28</v>
      </c>
      <c r="B304" s="157"/>
      <c r="C304" s="158"/>
      <c r="D304" s="169" t="s">
        <v>657</v>
      </c>
      <c r="E304" s="124" t="s">
        <v>1415</v>
      </c>
      <c r="F304" s="320">
        <v>43558</v>
      </c>
      <c r="G304" s="625"/>
      <c r="H304" s="626"/>
      <c r="I304" s="624"/>
      <c r="J304" s="506" t="s">
        <v>391</v>
      </c>
      <c r="K304" s="125" t="s">
        <v>205</v>
      </c>
      <c r="L304" s="133" t="s">
        <v>77</v>
      </c>
      <c r="M304" s="370">
        <v>36</v>
      </c>
      <c r="N304" s="236" t="s">
        <v>17</v>
      </c>
      <c r="O304" s="235"/>
      <c r="P304" s="90">
        <f t="shared" si="21"/>
        <v>36</v>
      </c>
      <c r="Q304" s="271"/>
      <c r="R304" s="726"/>
      <c r="S304" s="383" t="s">
        <v>168</v>
      </c>
      <c r="T304" s="159"/>
      <c r="U304" s="160"/>
      <c r="V304" s="161"/>
      <c r="W304" s="162"/>
      <c r="X304" s="163"/>
      <c r="Y304" s="163"/>
      <c r="Z304" s="164"/>
      <c r="AA304" s="165"/>
      <c r="AB304" s="166"/>
      <c r="AC304" s="167"/>
    </row>
    <row r="305" spans="1:29" s="141" customFormat="1" ht="20.25" customHeight="1">
      <c r="A305" s="359" t="s">
        <v>66</v>
      </c>
      <c r="B305" s="99"/>
      <c r="C305" s="100"/>
      <c r="D305" s="261" t="s">
        <v>415</v>
      </c>
      <c r="E305" s="262"/>
      <c r="F305" s="355"/>
      <c r="G305" s="627"/>
      <c r="H305" s="631"/>
      <c r="I305" s="624"/>
      <c r="J305" s="516" t="s">
        <v>1211</v>
      </c>
      <c r="K305" s="258" t="s">
        <v>546</v>
      </c>
      <c r="L305" s="354" t="s">
        <v>1212</v>
      </c>
      <c r="M305" s="371">
        <v>1</v>
      </c>
      <c r="N305" s="263" t="s">
        <v>268</v>
      </c>
      <c r="O305" s="235"/>
      <c r="P305" s="90">
        <f t="shared" si="21"/>
        <v>1</v>
      </c>
      <c r="Q305" s="329"/>
      <c r="R305" s="726"/>
      <c r="S305" s="337" t="s">
        <v>168</v>
      </c>
      <c r="T305" s="27"/>
      <c r="U305" s="8"/>
      <c r="V305" s="121"/>
      <c r="W305" s="8"/>
      <c r="X305" s="63"/>
      <c r="Y305" s="63"/>
      <c r="Z305" s="64"/>
      <c r="AA305" s="65"/>
      <c r="AB305"/>
      <c r="AC305"/>
    </row>
    <row r="306" spans="1:29" s="141" customFormat="1" ht="20.25" customHeight="1">
      <c r="A306" s="359" t="s">
        <v>66</v>
      </c>
      <c r="B306" s="99"/>
      <c r="C306" s="100"/>
      <c r="D306" s="261" t="s">
        <v>525</v>
      </c>
      <c r="E306" s="262"/>
      <c r="F306" s="355"/>
      <c r="G306" s="627"/>
      <c r="H306" s="631"/>
      <c r="I306" s="624"/>
      <c r="J306" s="516" t="s">
        <v>1211</v>
      </c>
      <c r="K306" s="258" t="s">
        <v>546</v>
      </c>
      <c r="L306" s="354" t="s">
        <v>1212</v>
      </c>
      <c r="M306" s="371">
        <v>1</v>
      </c>
      <c r="N306" s="263" t="s">
        <v>268</v>
      </c>
      <c r="O306" s="235"/>
      <c r="P306" s="90">
        <f t="shared" si="21"/>
        <v>1</v>
      </c>
      <c r="Q306" s="329"/>
      <c r="R306" s="726"/>
      <c r="S306" s="337" t="s">
        <v>168</v>
      </c>
      <c r="T306" s="27"/>
      <c r="U306" s="8"/>
      <c r="V306" s="121"/>
      <c r="W306" s="8"/>
      <c r="X306" s="63"/>
      <c r="Y306" s="63"/>
      <c r="Z306" s="64"/>
      <c r="AA306" s="65"/>
      <c r="AB306"/>
      <c r="AC306"/>
    </row>
    <row r="307" spans="1:29" ht="20.25" customHeight="1">
      <c r="A307" s="359" t="s">
        <v>20</v>
      </c>
      <c r="D307" s="15" t="s">
        <v>559</v>
      </c>
      <c r="E307" s="124" t="s">
        <v>30</v>
      </c>
      <c r="F307" s="318"/>
      <c r="G307" s="622"/>
      <c r="H307" s="623"/>
      <c r="I307" s="624"/>
      <c r="J307" s="517" t="s">
        <v>30</v>
      </c>
      <c r="K307" s="125" t="s">
        <v>986</v>
      </c>
      <c r="L307" s="133"/>
      <c r="M307" s="368">
        <v>1</v>
      </c>
      <c r="N307" s="171" t="s">
        <v>268</v>
      </c>
      <c r="O307" s="235"/>
      <c r="P307" s="90">
        <f t="shared" ref="P307:P338" si="22">IF(O307="",M307,M307-O307)</f>
        <v>1</v>
      </c>
      <c r="Q307" s="327"/>
      <c r="R307" s="726"/>
      <c r="S307" s="288" t="s">
        <v>168</v>
      </c>
      <c r="T307" s="178"/>
      <c r="U307" s="91"/>
      <c r="V307" s="342"/>
      <c r="W307" s="342"/>
      <c r="X307" s="153"/>
      <c r="Y307" s="153"/>
      <c r="Z307" s="179"/>
      <c r="AA307" s="155"/>
      <c r="AB307" s="142"/>
      <c r="AC307" s="132"/>
    </row>
    <row r="308" spans="1:29" s="1" customFormat="1" ht="20.25" customHeight="1">
      <c r="A308" s="359" t="s">
        <v>66</v>
      </c>
      <c r="B308"/>
      <c r="C308" s="76"/>
      <c r="D308" s="169" t="s">
        <v>89</v>
      </c>
      <c r="E308" s="233" t="s">
        <v>30</v>
      </c>
      <c r="F308" s="319"/>
      <c r="G308" s="627"/>
      <c r="H308" s="631"/>
      <c r="I308" s="624"/>
      <c r="J308" s="519" t="s">
        <v>30</v>
      </c>
      <c r="K308" s="234" t="s">
        <v>1963</v>
      </c>
      <c r="L308" s="3"/>
      <c r="M308" s="369">
        <v>1</v>
      </c>
      <c r="N308" s="236" t="s">
        <v>268</v>
      </c>
      <c r="O308" s="235"/>
      <c r="P308" s="90">
        <f t="shared" si="22"/>
        <v>1</v>
      </c>
      <c r="Q308" s="328"/>
      <c r="R308" s="726"/>
      <c r="S308" s="288" t="s">
        <v>168</v>
      </c>
      <c r="T308" s="27"/>
      <c r="U308" s="8"/>
      <c r="V308" s="121"/>
      <c r="W308" s="8"/>
      <c r="X308" s="63"/>
      <c r="Y308" s="63"/>
      <c r="Z308" s="64"/>
      <c r="AA308" s="65"/>
      <c r="AB308"/>
      <c r="AC308"/>
    </row>
    <row r="309" spans="1:29" s="58" customFormat="1" ht="21" customHeight="1">
      <c r="A309" s="359" t="s">
        <v>20</v>
      </c>
      <c r="B309" s="79"/>
      <c r="C309" s="80" t="str">
        <f>K$2</f>
        <v>10/08/2019</v>
      </c>
      <c r="D309" s="169" t="s">
        <v>190</v>
      </c>
      <c r="E309" s="124" t="s">
        <v>30</v>
      </c>
      <c r="F309" s="318">
        <v>43047</v>
      </c>
      <c r="G309" s="622"/>
      <c r="H309" s="623"/>
      <c r="I309" s="624"/>
      <c r="J309" s="517" t="s">
        <v>30</v>
      </c>
      <c r="K309" s="125" t="s">
        <v>985</v>
      </c>
      <c r="L309" s="133"/>
      <c r="M309" s="368">
        <v>1</v>
      </c>
      <c r="N309" s="171" t="s">
        <v>268</v>
      </c>
      <c r="O309" s="235"/>
      <c r="P309" s="90">
        <f t="shared" si="22"/>
        <v>1</v>
      </c>
      <c r="Q309" s="327"/>
      <c r="R309" s="726"/>
      <c r="S309" s="277" t="s">
        <v>168</v>
      </c>
      <c r="T309" s="178"/>
      <c r="U309" s="91"/>
      <c r="V309" s="342"/>
      <c r="W309" s="342"/>
      <c r="X309" s="153"/>
      <c r="Y309" s="153"/>
      <c r="Z309" s="179"/>
      <c r="AA309" s="155"/>
      <c r="AB309" s="142"/>
      <c r="AC309" s="132"/>
    </row>
    <row r="310" spans="1:29" s="168" customFormat="1" ht="19.5" customHeight="1">
      <c r="A310" s="359" t="s">
        <v>28</v>
      </c>
      <c r="B310" s="157"/>
      <c r="C310" s="158"/>
      <c r="D310" s="51" t="s">
        <v>2381</v>
      </c>
      <c r="E310" s="536" t="s">
        <v>2384</v>
      </c>
      <c r="F310" s="601">
        <v>43676</v>
      </c>
      <c r="G310" s="625"/>
      <c r="H310" s="626"/>
      <c r="I310" s="624" t="s">
        <v>2376</v>
      </c>
      <c r="J310" s="756" t="s">
        <v>2382</v>
      </c>
      <c r="K310" s="541" t="s">
        <v>2383</v>
      </c>
      <c r="L310" s="252" t="s">
        <v>2374</v>
      </c>
      <c r="M310" s="602">
        <v>1</v>
      </c>
      <c r="N310" s="547" t="s">
        <v>17</v>
      </c>
      <c r="O310" s="537">
        <v>1</v>
      </c>
      <c r="P310" s="603">
        <f t="shared" si="22"/>
        <v>0</v>
      </c>
      <c r="Q310" s="283"/>
      <c r="R310" s="726" t="s">
        <v>2377</v>
      </c>
      <c r="S310" s="550">
        <v>43990</v>
      </c>
      <c r="T310" s="159"/>
      <c r="U310" s="160"/>
      <c r="V310" s="512"/>
      <c r="W310" s="160"/>
      <c r="X310" s="163"/>
      <c r="Y310" s="163"/>
      <c r="Z310" s="164"/>
      <c r="AA310" s="165"/>
      <c r="AB310" s="166"/>
      <c r="AC310" s="167"/>
    </row>
    <row r="311" spans="1:29" s="141" customFormat="1" ht="20.25" customHeight="1">
      <c r="A311" s="359" t="s">
        <v>66</v>
      </c>
      <c r="B311" s="99"/>
      <c r="C311" s="100"/>
      <c r="D311" s="261" t="s">
        <v>568</v>
      </c>
      <c r="E311" s="262"/>
      <c r="F311" s="355"/>
      <c r="G311" s="627"/>
      <c r="H311" s="631"/>
      <c r="I311" s="624"/>
      <c r="J311" s="516" t="s">
        <v>1211</v>
      </c>
      <c r="K311" s="258" t="s">
        <v>546</v>
      </c>
      <c r="L311" s="354" t="s">
        <v>1212</v>
      </c>
      <c r="M311" s="371">
        <v>1</v>
      </c>
      <c r="N311" s="263" t="s">
        <v>268</v>
      </c>
      <c r="O311" s="235"/>
      <c r="P311" s="90">
        <f t="shared" si="22"/>
        <v>1</v>
      </c>
      <c r="Q311" s="329"/>
      <c r="R311" s="726"/>
      <c r="S311" s="337" t="s">
        <v>168</v>
      </c>
      <c r="T311" s="27"/>
      <c r="U311" s="8"/>
      <c r="V311" s="121"/>
      <c r="W311" s="8"/>
      <c r="X311" s="63"/>
      <c r="Y311" s="63"/>
      <c r="Z311" s="64"/>
      <c r="AA311" s="65"/>
      <c r="AB311"/>
      <c r="AC311"/>
    </row>
    <row r="312" spans="1:29" ht="20.25" customHeight="1">
      <c r="A312" s="359" t="s">
        <v>20</v>
      </c>
      <c r="D312" s="169" t="s">
        <v>404</v>
      </c>
      <c r="E312" s="124" t="s">
        <v>30</v>
      </c>
      <c r="F312" s="318">
        <v>43047</v>
      </c>
      <c r="G312" s="622"/>
      <c r="H312" s="622"/>
      <c r="I312" s="624"/>
      <c r="J312" s="517" t="s">
        <v>30</v>
      </c>
      <c r="K312" s="125" t="s">
        <v>960</v>
      </c>
      <c r="L312" s="133"/>
      <c r="M312" s="368">
        <v>1</v>
      </c>
      <c r="N312" s="171" t="s">
        <v>268</v>
      </c>
      <c r="O312" s="235"/>
      <c r="P312" s="90">
        <f t="shared" si="22"/>
        <v>1</v>
      </c>
      <c r="Q312" s="327"/>
      <c r="R312" s="726"/>
      <c r="S312" s="277" t="s">
        <v>168</v>
      </c>
      <c r="T312" s="178"/>
      <c r="U312" s="91"/>
      <c r="V312" s="342"/>
      <c r="W312" s="342"/>
      <c r="X312" s="153"/>
      <c r="Y312" s="153"/>
      <c r="Z312" s="179"/>
      <c r="AA312" s="155"/>
      <c r="AB312" s="142"/>
      <c r="AC312" s="132"/>
    </row>
    <row r="313" spans="1:29" ht="20.25" customHeight="1">
      <c r="A313" s="377" t="s">
        <v>71</v>
      </c>
      <c r="B313" s="186"/>
      <c r="C313" s="188"/>
      <c r="D313" s="169" t="s">
        <v>53</v>
      </c>
      <c r="E313" s="124" t="s">
        <v>30</v>
      </c>
      <c r="F313" s="318"/>
      <c r="G313" s="622"/>
      <c r="H313" s="623"/>
      <c r="I313" s="624"/>
      <c r="J313" s="517" t="s">
        <v>30</v>
      </c>
      <c r="K313" s="125" t="s">
        <v>1964</v>
      </c>
      <c r="L313" s="133"/>
      <c r="M313" s="368">
        <v>1</v>
      </c>
      <c r="N313" s="171" t="s">
        <v>268</v>
      </c>
      <c r="O313" s="235"/>
      <c r="P313" s="90">
        <f t="shared" si="22"/>
        <v>1</v>
      </c>
      <c r="Q313" s="326"/>
      <c r="R313" s="726"/>
      <c r="S313" s="277" t="s">
        <v>168</v>
      </c>
      <c r="T313" s="42"/>
      <c r="U313" s="45"/>
      <c r="V313" s="740"/>
      <c r="W313" s="740"/>
      <c r="X313" s="60"/>
      <c r="Y313" s="60"/>
      <c r="Z313" s="61"/>
      <c r="AA313" s="62"/>
      <c r="AB313" s="142"/>
      <c r="AC313" s="117"/>
    </row>
    <row r="314" spans="1:29" s="141" customFormat="1" ht="20.25" customHeight="1">
      <c r="A314" s="359" t="s">
        <v>28</v>
      </c>
      <c r="C314" s="122"/>
      <c r="D314" s="169" t="s">
        <v>343</v>
      </c>
      <c r="E314" s="181" t="s">
        <v>30</v>
      </c>
      <c r="F314" s="318"/>
      <c r="G314" s="622"/>
      <c r="H314" s="623"/>
      <c r="I314" s="624"/>
      <c r="J314" s="517" t="s">
        <v>30</v>
      </c>
      <c r="K314" s="133" t="s">
        <v>1965</v>
      </c>
      <c r="L314" s="133"/>
      <c r="M314" s="368">
        <v>1</v>
      </c>
      <c r="N314" s="171" t="s">
        <v>268</v>
      </c>
      <c r="O314" s="235"/>
      <c r="P314" s="90">
        <f t="shared" si="22"/>
        <v>1</v>
      </c>
      <c r="Q314" s="326"/>
      <c r="R314" s="726"/>
      <c r="S314" s="277" t="s">
        <v>168</v>
      </c>
      <c r="T314" s="42"/>
      <c r="U314" s="45"/>
      <c r="V314" s="50"/>
      <c r="W314" s="50"/>
      <c r="X314" s="60"/>
      <c r="Y314" s="60"/>
      <c r="Z314" s="61"/>
      <c r="AA314" s="62"/>
      <c r="AB314" s="142"/>
      <c r="AC314" s="117"/>
    </row>
    <row r="315" spans="1:29" s="141" customFormat="1" ht="20.25" customHeight="1">
      <c r="A315" s="359" t="s">
        <v>66</v>
      </c>
      <c r="B315" s="99"/>
      <c r="C315" s="100"/>
      <c r="D315" s="261" t="s">
        <v>1016</v>
      </c>
      <c r="E315" s="262"/>
      <c r="F315" s="355"/>
      <c r="G315" s="627"/>
      <c r="H315" s="631"/>
      <c r="I315" s="624"/>
      <c r="J315" s="516" t="s">
        <v>1211</v>
      </c>
      <c r="K315" s="258" t="s">
        <v>546</v>
      </c>
      <c r="L315" s="354" t="s">
        <v>1212</v>
      </c>
      <c r="M315" s="371">
        <v>1</v>
      </c>
      <c r="N315" s="263" t="s">
        <v>268</v>
      </c>
      <c r="O315" s="235"/>
      <c r="P315" s="90">
        <f t="shared" si="22"/>
        <v>1</v>
      </c>
      <c r="Q315" s="329"/>
      <c r="R315" s="726"/>
      <c r="S315" s="337" t="s">
        <v>168</v>
      </c>
      <c r="T315" s="27"/>
      <c r="U315" s="8"/>
      <c r="V315" s="121"/>
      <c r="W315" s="8"/>
      <c r="X315" s="63"/>
      <c r="Y315" s="63"/>
      <c r="Z315" s="64"/>
      <c r="AA315" s="65"/>
      <c r="AB315"/>
      <c r="AC315"/>
    </row>
    <row r="316" spans="1:29" s="583" customFormat="1" ht="20.25" customHeight="1">
      <c r="A316" s="582" t="s">
        <v>66</v>
      </c>
      <c r="C316" s="584"/>
      <c r="D316" s="585" t="s">
        <v>819</v>
      </c>
      <c r="E316" s="586"/>
      <c r="F316" s="587"/>
      <c r="G316" s="627"/>
      <c r="H316" s="631"/>
      <c r="I316" s="624"/>
      <c r="J316" s="588" t="s">
        <v>1617</v>
      </c>
      <c r="K316" s="589"/>
      <c r="L316" s="590" t="s">
        <v>1212</v>
      </c>
      <c r="M316" s="591">
        <v>1</v>
      </c>
      <c r="N316" s="592" t="s">
        <v>268</v>
      </c>
      <c r="O316" s="593"/>
      <c r="P316" s="90">
        <f t="shared" si="22"/>
        <v>1</v>
      </c>
      <c r="Q316" s="594"/>
      <c r="R316" s="726"/>
      <c r="S316" s="595" t="s">
        <v>168</v>
      </c>
      <c r="T316" s="596"/>
      <c r="U316" s="597"/>
      <c r="V316" s="748"/>
      <c r="W316" s="750"/>
      <c r="X316" s="598"/>
      <c r="Y316" s="598"/>
      <c r="Z316" s="599"/>
      <c r="AA316" s="600"/>
    </row>
    <row r="317" spans="1:29" ht="20.25" customHeight="1">
      <c r="A317" s="359" t="s">
        <v>20</v>
      </c>
      <c r="C317" s="84"/>
      <c r="D317" s="169" t="s">
        <v>533</v>
      </c>
      <c r="E317" s="124" t="s">
        <v>30</v>
      </c>
      <c r="F317" s="318"/>
      <c r="G317" s="622"/>
      <c r="H317" s="623"/>
      <c r="I317" s="624"/>
      <c r="J317" s="517" t="s">
        <v>30</v>
      </c>
      <c r="K317" s="125" t="s">
        <v>1966</v>
      </c>
      <c r="L317" s="133"/>
      <c r="M317" s="368">
        <v>1</v>
      </c>
      <c r="N317" s="171" t="s">
        <v>268</v>
      </c>
      <c r="O317" s="235"/>
      <c r="P317" s="90">
        <f t="shared" si="22"/>
        <v>1</v>
      </c>
      <c r="Q317" s="326"/>
      <c r="R317" s="726"/>
      <c r="S317" s="277" t="s">
        <v>168</v>
      </c>
      <c r="T317" s="42"/>
      <c r="U317" s="45"/>
      <c r="V317" s="740"/>
      <c r="W317" s="740"/>
      <c r="X317" s="60"/>
      <c r="Y317" s="60"/>
      <c r="Z317" s="61"/>
      <c r="AA317" s="62"/>
      <c r="AB317" s="142"/>
      <c r="AC317" s="117"/>
    </row>
    <row r="318" spans="1:29" ht="20.25" customHeight="1">
      <c r="A318" s="359" t="s">
        <v>28</v>
      </c>
      <c r="C318" s="84"/>
      <c r="D318" s="169" t="s">
        <v>855</v>
      </c>
      <c r="E318" s="124" t="s">
        <v>30</v>
      </c>
      <c r="F318" s="318"/>
      <c r="G318" s="622"/>
      <c r="H318" s="623"/>
      <c r="I318" s="624"/>
      <c r="J318" s="517" t="s">
        <v>30</v>
      </c>
      <c r="K318" s="125" t="s">
        <v>1089</v>
      </c>
      <c r="L318" s="133"/>
      <c r="M318" s="368">
        <v>1</v>
      </c>
      <c r="N318" s="171" t="s">
        <v>268</v>
      </c>
      <c r="O318" s="235"/>
      <c r="P318" s="90">
        <f t="shared" si="22"/>
        <v>1</v>
      </c>
      <c r="Q318" s="327"/>
      <c r="R318" s="726"/>
      <c r="S318" s="288" t="s">
        <v>168</v>
      </c>
      <c r="T318" s="178"/>
      <c r="U318" s="91"/>
      <c r="V318" s="342"/>
      <c r="W318" s="342"/>
      <c r="X318" s="153"/>
      <c r="Y318" s="153"/>
      <c r="Z318" s="179"/>
      <c r="AA318" s="155"/>
      <c r="AB318" s="142"/>
      <c r="AC318" s="132"/>
    </row>
    <row r="319" spans="1:29" ht="20.25" customHeight="1">
      <c r="A319" s="359" t="s">
        <v>20</v>
      </c>
      <c r="C319" s="84"/>
      <c r="D319" s="169" t="s">
        <v>1934</v>
      </c>
      <c r="E319" s="124" t="s">
        <v>30</v>
      </c>
      <c r="F319" s="318">
        <v>43502</v>
      </c>
      <c r="G319" s="622"/>
      <c r="H319" s="623"/>
      <c r="I319" s="624"/>
      <c r="J319" s="517" t="s">
        <v>30</v>
      </c>
      <c r="K319" s="125" t="s">
        <v>2246</v>
      </c>
      <c r="L319" s="133"/>
      <c r="M319" s="368">
        <v>1</v>
      </c>
      <c r="N319" s="171" t="s">
        <v>268</v>
      </c>
      <c r="O319" s="235"/>
      <c r="P319" s="90">
        <f t="shared" si="22"/>
        <v>1</v>
      </c>
      <c r="Q319" s="382"/>
      <c r="R319" s="726"/>
      <c r="S319" s="288" t="s">
        <v>168</v>
      </c>
      <c r="T319" s="178"/>
      <c r="U319" s="91"/>
      <c r="V319" s="674"/>
      <c r="W319" s="674"/>
      <c r="X319" s="153"/>
      <c r="Y319" s="153"/>
      <c r="Z319" s="179"/>
      <c r="AA319" s="155"/>
      <c r="AB319" s="142"/>
      <c r="AC319" s="132"/>
    </row>
    <row r="320" spans="1:29" ht="20.25" customHeight="1">
      <c r="A320" s="359" t="s">
        <v>20</v>
      </c>
      <c r="C320" s="84"/>
      <c r="D320" s="169" t="s">
        <v>721</v>
      </c>
      <c r="E320" s="124" t="s">
        <v>30</v>
      </c>
      <c r="F320" s="318"/>
      <c r="G320" s="622"/>
      <c r="H320" s="623"/>
      <c r="I320" s="624"/>
      <c r="J320" s="517" t="s">
        <v>30</v>
      </c>
      <c r="K320" s="125" t="s">
        <v>978</v>
      </c>
      <c r="L320" s="133"/>
      <c r="M320" s="368">
        <v>1</v>
      </c>
      <c r="N320" s="171" t="s">
        <v>268</v>
      </c>
      <c r="O320" s="235"/>
      <c r="P320" s="90">
        <f t="shared" si="22"/>
        <v>1</v>
      </c>
      <c r="Q320" s="327"/>
      <c r="R320" s="726"/>
      <c r="S320" s="288" t="s">
        <v>168</v>
      </c>
      <c r="T320" s="178"/>
      <c r="U320" s="91"/>
      <c r="V320" s="342"/>
      <c r="W320" s="342"/>
      <c r="X320" s="153"/>
      <c r="Y320" s="153"/>
      <c r="Z320" s="179"/>
      <c r="AA320" s="155"/>
      <c r="AB320" s="142"/>
      <c r="AC320" s="132"/>
    </row>
    <row r="321" spans="1:29" s="583" customFormat="1" ht="20.25" customHeight="1">
      <c r="A321" s="582" t="s">
        <v>66</v>
      </c>
      <c r="C321" s="584"/>
      <c r="D321" s="585" t="s">
        <v>704</v>
      </c>
      <c r="E321" s="586"/>
      <c r="F321" s="587"/>
      <c r="G321" s="627"/>
      <c r="H321" s="631"/>
      <c r="I321" s="624"/>
      <c r="J321" s="588" t="s">
        <v>1617</v>
      </c>
      <c r="K321" s="589"/>
      <c r="L321" s="590" t="s">
        <v>1212</v>
      </c>
      <c r="M321" s="591">
        <v>1</v>
      </c>
      <c r="N321" s="592" t="s">
        <v>268</v>
      </c>
      <c r="O321" s="593"/>
      <c r="P321" s="90">
        <f t="shared" si="22"/>
        <v>1</v>
      </c>
      <c r="Q321" s="594"/>
      <c r="R321" s="726"/>
      <c r="S321" s="595" t="s">
        <v>168</v>
      </c>
      <c r="T321" s="596"/>
      <c r="U321" s="597"/>
      <c r="V321" s="748"/>
      <c r="W321" s="750"/>
      <c r="X321" s="598"/>
      <c r="Y321" s="598"/>
      <c r="Z321" s="599"/>
      <c r="AA321" s="600"/>
    </row>
    <row r="322" spans="1:29" s="583" customFormat="1" ht="20.25" customHeight="1">
      <c r="A322" s="582" t="s">
        <v>66</v>
      </c>
      <c r="C322" s="584"/>
      <c r="D322" s="585" t="s">
        <v>492</v>
      </c>
      <c r="E322" s="586"/>
      <c r="F322" s="587"/>
      <c r="G322" s="627"/>
      <c r="H322" s="631"/>
      <c r="I322" s="624"/>
      <c r="J322" s="588" t="s">
        <v>1617</v>
      </c>
      <c r="K322" s="589"/>
      <c r="L322" s="590" t="s">
        <v>1212</v>
      </c>
      <c r="M322" s="591">
        <v>1</v>
      </c>
      <c r="N322" s="592" t="s">
        <v>268</v>
      </c>
      <c r="O322" s="593"/>
      <c r="P322" s="90">
        <f t="shared" si="22"/>
        <v>1</v>
      </c>
      <c r="Q322" s="594"/>
      <c r="R322" s="726"/>
      <c r="S322" s="595" t="s">
        <v>168</v>
      </c>
      <c r="T322" s="596"/>
      <c r="U322" s="597"/>
      <c r="V322" s="748"/>
      <c r="W322" s="750"/>
      <c r="X322" s="598"/>
      <c r="Y322" s="598"/>
      <c r="Z322" s="599"/>
      <c r="AA322" s="600"/>
    </row>
    <row r="323" spans="1:29" ht="20.25" customHeight="1">
      <c r="A323" s="359" t="s">
        <v>20</v>
      </c>
      <c r="C323" s="84"/>
      <c r="D323" s="169" t="s">
        <v>473</v>
      </c>
      <c r="E323" s="124" t="s">
        <v>30</v>
      </c>
      <c r="F323" s="318"/>
      <c r="G323" s="622"/>
      <c r="H323" s="623"/>
      <c r="I323" s="624"/>
      <c r="J323" s="517" t="s">
        <v>30</v>
      </c>
      <c r="K323" s="125" t="s">
        <v>1243</v>
      </c>
      <c r="L323" s="133"/>
      <c r="M323" s="368">
        <v>1</v>
      </c>
      <c r="N323" s="171" t="s">
        <v>268</v>
      </c>
      <c r="O323" s="235"/>
      <c r="P323" s="90">
        <f t="shared" si="22"/>
        <v>1</v>
      </c>
      <c r="Q323" s="326"/>
      <c r="R323" s="726"/>
      <c r="S323" s="277" t="s">
        <v>168</v>
      </c>
      <c r="T323" s="42"/>
      <c r="U323" s="45"/>
      <c r="V323" s="50"/>
      <c r="W323" s="50"/>
      <c r="X323" s="60"/>
      <c r="Y323" s="60"/>
      <c r="Z323" s="61"/>
      <c r="AA323" s="62"/>
      <c r="AB323" s="142"/>
      <c r="AC323" s="117"/>
    </row>
    <row r="324" spans="1:29" ht="20.25" customHeight="1">
      <c r="A324" s="359" t="s">
        <v>20</v>
      </c>
      <c r="C324" s="84"/>
      <c r="D324" s="169" t="s">
        <v>196</v>
      </c>
      <c r="E324" s="124" t="s">
        <v>30</v>
      </c>
      <c r="F324" s="318"/>
      <c r="G324" s="622"/>
      <c r="H324" s="623"/>
      <c r="I324" s="624"/>
      <c r="J324" s="517" t="s">
        <v>30</v>
      </c>
      <c r="K324" s="125" t="s">
        <v>1967</v>
      </c>
      <c r="L324" s="133"/>
      <c r="M324" s="368">
        <v>1</v>
      </c>
      <c r="N324" s="171" t="s">
        <v>268</v>
      </c>
      <c r="O324" s="235"/>
      <c r="P324" s="90">
        <f t="shared" si="22"/>
        <v>1</v>
      </c>
      <c r="Q324" s="326"/>
      <c r="R324" s="726"/>
      <c r="S324" s="277" t="s">
        <v>168</v>
      </c>
      <c r="T324" s="42"/>
      <c r="U324" s="45"/>
      <c r="V324" s="740"/>
      <c r="W324" s="740"/>
      <c r="X324" s="60"/>
      <c r="Y324" s="60"/>
      <c r="Z324" s="61"/>
      <c r="AA324" s="62"/>
      <c r="AB324" s="142"/>
      <c r="AC324" s="117"/>
    </row>
    <row r="325" spans="1:29" s="168" customFormat="1" ht="18.75" customHeight="1">
      <c r="A325" s="359" t="s">
        <v>71</v>
      </c>
      <c r="B325" s="157"/>
      <c r="C325" s="158"/>
      <c r="D325" s="169" t="s">
        <v>139</v>
      </c>
      <c r="E325" s="124" t="s">
        <v>574</v>
      </c>
      <c r="F325" s="320" t="s">
        <v>1693</v>
      </c>
      <c r="G325" s="625"/>
      <c r="H325" s="626"/>
      <c r="I325" s="624"/>
      <c r="J325" s="517" t="s">
        <v>1694</v>
      </c>
      <c r="K325" s="125" t="s">
        <v>1301</v>
      </c>
      <c r="L325" s="133" t="s">
        <v>77</v>
      </c>
      <c r="M325" s="370">
        <v>20</v>
      </c>
      <c r="N325" s="127" t="s">
        <v>17</v>
      </c>
      <c r="O325" s="235">
        <v>4</v>
      </c>
      <c r="P325" s="90">
        <f t="shared" si="22"/>
        <v>16</v>
      </c>
      <c r="Q325" s="283"/>
      <c r="R325" s="726" t="s">
        <v>1292</v>
      </c>
      <c r="S325" s="550">
        <v>43816</v>
      </c>
      <c r="T325" s="159"/>
      <c r="U325" s="160"/>
      <c r="V325" s="512"/>
      <c r="W325" s="160"/>
      <c r="X325" s="163"/>
      <c r="Y325" s="163"/>
      <c r="Z325" s="164"/>
      <c r="AA325" s="165"/>
      <c r="AB325" s="166"/>
      <c r="AC325" s="167"/>
    </row>
    <row r="326" spans="1:29" s="583" customFormat="1" ht="20.25" customHeight="1">
      <c r="A326" s="582" t="s">
        <v>66</v>
      </c>
      <c r="C326" s="584"/>
      <c r="D326" s="585" t="s">
        <v>498</v>
      </c>
      <c r="E326" s="586"/>
      <c r="F326" s="587"/>
      <c r="G326" s="627"/>
      <c r="H326" s="631"/>
      <c r="I326" s="624"/>
      <c r="J326" s="588" t="s">
        <v>1617</v>
      </c>
      <c r="K326" s="589"/>
      <c r="L326" s="590" t="s">
        <v>1212</v>
      </c>
      <c r="M326" s="591">
        <v>1</v>
      </c>
      <c r="N326" s="592" t="s">
        <v>268</v>
      </c>
      <c r="O326" s="593"/>
      <c r="P326" s="90">
        <f t="shared" si="22"/>
        <v>1</v>
      </c>
      <c r="Q326" s="594"/>
      <c r="R326" s="726"/>
      <c r="S326" s="595" t="s">
        <v>168</v>
      </c>
      <c r="T326" s="596"/>
      <c r="U326" s="597"/>
      <c r="V326" s="748"/>
      <c r="W326" s="750"/>
      <c r="X326" s="598"/>
      <c r="Y326" s="598"/>
      <c r="Z326" s="599"/>
      <c r="AA326" s="600"/>
    </row>
    <row r="327" spans="1:29" ht="20.25" customHeight="1">
      <c r="A327" s="359" t="s">
        <v>20</v>
      </c>
      <c r="C327" s="84"/>
      <c r="D327" s="169" t="s">
        <v>327</v>
      </c>
      <c r="E327" s="124" t="s">
        <v>15</v>
      </c>
      <c r="F327" s="320">
        <v>40529</v>
      </c>
      <c r="G327" s="625"/>
      <c r="H327" s="626"/>
      <c r="I327" s="624"/>
      <c r="J327" s="517" t="s">
        <v>401</v>
      </c>
      <c r="K327" s="125" t="s">
        <v>16</v>
      </c>
      <c r="L327" s="133" t="s">
        <v>1160</v>
      </c>
      <c r="M327" s="370">
        <v>12</v>
      </c>
      <c r="N327" s="259" t="s">
        <v>1160</v>
      </c>
      <c r="O327" s="235"/>
      <c r="P327" s="90">
        <f t="shared" si="22"/>
        <v>12</v>
      </c>
      <c r="Q327" s="331" t="s">
        <v>1866</v>
      </c>
      <c r="R327" s="726"/>
      <c r="S327" s="277" t="s">
        <v>168</v>
      </c>
      <c r="T327" s="8"/>
      <c r="V327" s="36"/>
      <c r="W327" s="36"/>
      <c r="X327" s="63"/>
      <c r="Y327" s="63"/>
      <c r="Z327" s="64"/>
      <c r="AA327" s="65"/>
      <c r="AB327" s="142"/>
      <c r="AC327" s="117"/>
    </row>
    <row r="328" spans="1:29" ht="20.25" customHeight="1">
      <c r="A328" s="359" t="s">
        <v>20</v>
      </c>
      <c r="C328" s="84"/>
      <c r="D328" s="169" t="s">
        <v>698</v>
      </c>
      <c r="E328" s="124" t="s">
        <v>30</v>
      </c>
      <c r="F328" s="318"/>
      <c r="G328" s="622"/>
      <c r="H328" s="623"/>
      <c r="I328" s="624"/>
      <c r="J328" s="517" t="s">
        <v>30</v>
      </c>
      <c r="K328" s="125" t="s">
        <v>1968</v>
      </c>
      <c r="L328" s="133"/>
      <c r="M328" s="368">
        <v>1</v>
      </c>
      <c r="N328" s="171" t="s">
        <v>268</v>
      </c>
      <c r="O328" s="235"/>
      <c r="P328" s="90">
        <f t="shared" si="22"/>
        <v>1</v>
      </c>
      <c r="Q328" s="326"/>
      <c r="R328" s="726"/>
      <c r="S328" s="277" t="s">
        <v>168</v>
      </c>
      <c r="T328" s="42"/>
      <c r="U328" s="45"/>
      <c r="V328" s="50"/>
      <c r="W328" s="50"/>
      <c r="X328" s="60"/>
      <c r="Y328" s="60"/>
      <c r="Z328" s="61"/>
      <c r="AA328" s="62"/>
      <c r="AB328" s="142"/>
      <c r="AC328" s="117"/>
    </row>
    <row r="329" spans="1:29" ht="20.25" customHeight="1">
      <c r="A329" s="359" t="s">
        <v>28</v>
      </c>
      <c r="C329" s="84"/>
      <c r="D329" s="169" t="s">
        <v>47</v>
      </c>
      <c r="E329" s="124" t="s">
        <v>30</v>
      </c>
      <c r="F329" s="318"/>
      <c r="G329" s="622"/>
      <c r="H329" s="623"/>
      <c r="I329" s="624"/>
      <c r="J329" s="517" t="s">
        <v>30</v>
      </c>
      <c r="K329" s="125" t="s">
        <v>1969</v>
      </c>
      <c r="L329" s="133"/>
      <c r="M329" s="368">
        <v>1</v>
      </c>
      <c r="N329" s="171" t="s">
        <v>268</v>
      </c>
      <c r="O329" s="235"/>
      <c r="P329" s="90">
        <f t="shared" si="22"/>
        <v>1</v>
      </c>
      <c r="Q329" s="326"/>
      <c r="R329" s="726"/>
      <c r="S329" s="277" t="s">
        <v>168</v>
      </c>
      <c r="T329" s="42"/>
      <c r="U329" s="45"/>
      <c r="V329" s="740"/>
      <c r="W329" s="740"/>
      <c r="X329" s="60"/>
      <c r="Y329" s="60"/>
      <c r="Z329" s="61"/>
      <c r="AA329" s="62"/>
      <c r="AB329" s="142"/>
      <c r="AC329" s="117"/>
    </row>
    <row r="330" spans="1:29" s="141" customFormat="1" ht="20.25" customHeight="1">
      <c r="A330" s="377" t="s">
        <v>71</v>
      </c>
      <c r="B330" s="186"/>
      <c r="C330" s="188"/>
      <c r="D330" s="169" t="s">
        <v>1130</v>
      </c>
      <c r="E330" s="149" t="s">
        <v>30</v>
      </c>
      <c r="F330" s="321"/>
      <c r="G330" s="625"/>
      <c r="H330" s="626"/>
      <c r="I330" s="624"/>
      <c r="J330" s="515" t="s">
        <v>30</v>
      </c>
      <c r="K330" s="285" t="s">
        <v>1249</v>
      </c>
      <c r="L330" s="290"/>
      <c r="M330" s="370">
        <v>1</v>
      </c>
      <c r="N330" s="150" t="s">
        <v>268</v>
      </c>
      <c r="O330" s="235"/>
      <c r="P330" s="90">
        <f t="shared" si="22"/>
        <v>1</v>
      </c>
      <c r="Q330" s="327"/>
      <c r="R330" s="726"/>
      <c r="S330" s="288" t="s">
        <v>168</v>
      </c>
      <c r="T330" s="27"/>
      <c r="U330" s="81"/>
      <c r="V330" s="82"/>
      <c r="W330" s="81"/>
      <c r="X330" s="60"/>
      <c r="Y330" s="60"/>
      <c r="Z330" s="83"/>
      <c r="AA330" s="62"/>
      <c r="AB330" s="142"/>
      <c r="AC330" s="117"/>
    </row>
    <row r="331" spans="1:29" s="141" customFormat="1" ht="20.25" customHeight="1">
      <c r="A331" s="377" t="s">
        <v>20</v>
      </c>
      <c r="B331" s="186"/>
      <c r="C331" s="188"/>
      <c r="D331" s="169" t="s">
        <v>474</v>
      </c>
      <c r="E331" s="124" t="s">
        <v>30</v>
      </c>
      <c r="F331" s="319">
        <v>43047</v>
      </c>
      <c r="G331" s="627"/>
      <c r="H331" s="627"/>
      <c r="I331" s="628"/>
      <c r="J331" s="517" t="s">
        <v>30</v>
      </c>
      <c r="K331" s="125" t="s">
        <v>988</v>
      </c>
      <c r="L331" s="125"/>
      <c r="M331" s="380">
        <v>1</v>
      </c>
      <c r="N331" s="127" t="s">
        <v>268</v>
      </c>
      <c r="O331" s="235"/>
      <c r="P331" s="90">
        <f t="shared" si="22"/>
        <v>1</v>
      </c>
      <c r="Q331" s="283"/>
      <c r="R331" s="726"/>
      <c r="S331" s="277" t="s">
        <v>168</v>
      </c>
      <c r="T331" s="178"/>
      <c r="U331" s="91"/>
      <c r="V331" s="342"/>
      <c r="W331" s="342"/>
      <c r="X331" s="153"/>
      <c r="Y331" s="153"/>
      <c r="Z331" s="179"/>
      <c r="AA331" s="155"/>
      <c r="AB331" s="142"/>
      <c r="AC331" s="132"/>
    </row>
    <row r="332" spans="1:29" s="141" customFormat="1" ht="20.25" customHeight="1">
      <c r="A332" s="377" t="s">
        <v>20</v>
      </c>
      <c r="B332" s="186"/>
      <c r="C332" s="188"/>
      <c r="D332" s="169" t="s">
        <v>48</v>
      </c>
      <c r="E332" s="124" t="s">
        <v>30</v>
      </c>
      <c r="F332" s="319">
        <v>43446</v>
      </c>
      <c r="G332" s="627"/>
      <c r="H332" s="631"/>
      <c r="I332" s="632"/>
      <c r="J332" s="517" t="s">
        <v>30</v>
      </c>
      <c r="K332" s="125" t="s">
        <v>2141</v>
      </c>
      <c r="L332" s="125"/>
      <c r="M332" s="514">
        <v>1</v>
      </c>
      <c r="N332" s="127" t="s">
        <v>268</v>
      </c>
      <c r="O332" s="235"/>
      <c r="P332" s="90">
        <f t="shared" si="22"/>
        <v>1</v>
      </c>
      <c r="Q332" s="382"/>
      <c r="R332" s="726"/>
      <c r="S332" s="383" t="s">
        <v>168</v>
      </c>
      <c r="T332" s="27"/>
      <c r="U332" s="81"/>
      <c r="V332" s="738"/>
      <c r="W332" s="744"/>
      <c r="X332" s="63"/>
      <c r="Y332" s="139"/>
      <c r="Z332" s="131"/>
      <c r="AA332" s="140"/>
    </row>
    <row r="333" spans="1:29" ht="21.75" customHeight="1">
      <c r="A333" s="359" t="s">
        <v>52</v>
      </c>
      <c r="B333" s="186"/>
      <c r="C333" s="188"/>
      <c r="D333" s="169" t="s">
        <v>49</v>
      </c>
      <c r="E333" s="124" t="s">
        <v>1668</v>
      </c>
      <c r="F333" s="319" t="s">
        <v>2085</v>
      </c>
      <c r="G333" s="627"/>
      <c r="H333" s="627"/>
      <c r="I333" s="628"/>
      <c r="J333" s="508" t="s">
        <v>2086</v>
      </c>
      <c r="K333" s="379" t="s">
        <v>1669</v>
      </c>
      <c r="L333" s="125" t="s">
        <v>1364</v>
      </c>
      <c r="M333" s="380">
        <v>9</v>
      </c>
      <c r="N333" s="236" t="s">
        <v>17</v>
      </c>
      <c r="O333" s="235"/>
      <c r="P333" s="90">
        <f t="shared" si="22"/>
        <v>9</v>
      </c>
      <c r="Q333" s="382"/>
      <c r="R333" s="726"/>
      <c r="S333" s="383" t="s">
        <v>2066</v>
      </c>
      <c r="T333" s="27"/>
      <c r="U333" s="81"/>
      <c r="V333" s="82"/>
      <c r="W333" s="81"/>
      <c r="X333" s="63"/>
      <c r="Y333" s="139"/>
      <c r="Z333" s="131"/>
      <c r="AA333" s="140"/>
      <c r="AB333" s="141"/>
      <c r="AC333" s="141"/>
    </row>
    <row r="334" spans="1:29" ht="21.75" customHeight="1">
      <c r="A334" s="359" t="s">
        <v>52</v>
      </c>
      <c r="B334" s="186"/>
      <c r="C334" s="188"/>
      <c r="D334" s="169" t="s">
        <v>49</v>
      </c>
      <c r="E334" s="124" t="s">
        <v>197</v>
      </c>
      <c r="F334" s="319" t="s">
        <v>2085</v>
      </c>
      <c r="G334" s="627"/>
      <c r="H334" s="627"/>
      <c r="I334" s="628"/>
      <c r="J334" s="508" t="s">
        <v>2099</v>
      </c>
      <c r="K334" s="379" t="s">
        <v>1671</v>
      </c>
      <c r="L334" s="125" t="s">
        <v>2098</v>
      </c>
      <c r="M334" s="380">
        <v>4</v>
      </c>
      <c r="N334" s="236" t="s">
        <v>17</v>
      </c>
      <c r="O334" s="235"/>
      <c r="P334" s="90">
        <f t="shared" si="22"/>
        <v>4</v>
      </c>
      <c r="Q334" s="382" t="s">
        <v>2144</v>
      </c>
      <c r="R334" s="726"/>
      <c r="S334" s="383" t="s">
        <v>2066</v>
      </c>
      <c r="T334" s="27"/>
      <c r="U334" s="81"/>
      <c r="V334" s="82"/>
      <c r="W334" s="81"/>
      <c r="X334" s="63"/>
      <c r="Y334" s="139"/>
      <c r="Z334" s="131"/>
      <c r="AA334" s="140"/>
      <c r="AB334" s="141"/>
      <c r="AC334" s="141"/>
    </row>
    <row r="335" spans="1:29" ht="21.75" customHeight="1">
      <c r="A335" s="377" t="s">
        <v>71</v>
      </c>
      <c r="B335" s="186"/>
      <c r="C335" s="188"/>
      <c r="D335" s="169" t="s">
        <v>75</v>
      </c>
      <c r="E335" s="124" t="s">
        <v>30</v>
      </c>
      <c r="F335" s="319"/>
      <c r="G335" s="627"/>
      <c r="H335" s="627"/>
      <c r="I335" s="628"/>
      <c r="J335" s="508" t="s">
        <v>30</v>
      </c>
      <c r="K335" s="379" t="s">
        <v>1970</v>
      </c>
      <c r="L335" s="125"/>
      <c r="M335" s="380">
        <v>1</v>
      </c>
      <c r="N335" s="236" t="s">
        <v>268</v>
      </c>
      <c r="O335" s="235"/>
      <c r="P335" s="90">
        <f t="shared" si="22"/>
        <v>1</v>
      </c>
      <c r="Q335" s="382"/>
      <c r="R335" s="726"/>
      <c r="S335" s="383" t="s">
        <v>168</v>
      </c>
      <c r="T335" s="27"/>
      <c r="U335" s="81"/>
      <c r="V335" s="82"/>
      <c r="W335" s="81"/>
      <c r="X335" s="63"/>
      <c r="Y335" s="139"/>
      <c r="Z335" s="131"/>
      <c r="AA335" s="140"/>
      <c r="AB335" s="141"/>
      <c r="AC335" s="141"/>
    </row>
    <row r="336" spans="1:29" ht="21.75" customHeight="1">
      <c r="A336" s="377" t="s">
        <v>20</v>
      </c>
      <c r="B336" s="186"/>
      <c r="C336" s="188"/>
      <c r="D336" s="169" t="s">
        <v>493</v>
      </c>
      <c r="E336" s="124" t="s">
        <v>30</v>
      </c>
      <c r="F336" s="319">
        <v>43446</v>
      </c>
      <c r="G336" s="627"/>
      <c r="H336" s="627"/>
      <c r="I336" s="628"/>
      <c r="J336" s="508" t="s">
        <v>30</v>
      </c>
      <c r="K336" s="379" t="s">
        <v>2076</v>
      </c>
      <c r="L336" s="125"/>
      <c r="M336" s="380">
        <v>1</v>
      </c>
      <c r="N336" s="236" t="s">
        <v>268</v>
      </c>
      <c r="O336" s="235"/>
      <c r="P336" s="90">
        <f t="shared" si="22"/>
        <v>1</v>
      </c>
      <c r="Q336" s="382"/>
      <c r="R336" s="726"/>
      <c r="S336" s="383" t="s">
        <v>168</v>
      </c>
      <c r="T336" s="27"/>
      <c r="U336" s="81"/>
      <c r="V336" s="82"/>
      <c r="W336" s="81"/>
      <c r="X336" s="63"/>
      <c r="Y336" s="139"/>
      <c r="Z336" s="131"/>
      <c r="AA336" s="140"/>
      <c r="AB336" s="141"/>
      <c r="AC336" s="141"/>
    </row>
    <row r="337" spans="1:29" ht="21.75" customHeight="1">
      <c r="A337" s="377" t="s">
        <v>20</v>
      </c>
      <c r="B337" s="186"/>
      <c r="C337" s="188"/>
      <c r="D337" s="169" t="s">
        <v>1332</v>
      </c>
      <c r="E337" s="124" t="s">
        <v>30</v>
      </c>
      <c r="F337" s="319">
        <v>43446</v>
      </c>
      <c r="G337" s="627"/>
      <c r="H337" s="627"/>
      <c r="I337" s="628"/>
      <c r="J337" s="508" t="s">
        <v>30</v>
      </c>
      <c r="K337" s="379" t="s">
        <v>2077</v>
      </c>
      <c r="L337" s="125"/>
      <c r="M337" s="380">
        <v>1</v>
      </c>
      <c r="N337" s="236" t="s">
        <v>268</v>
      </c>
      <c r="O337" s="235"/>
      <c r="P337" s="90">
        <f t="shared" si="22"/>
        <v>1</v>
      </c>
      <c r="Q337" s="382"/>
      <c r="R337" s="726"/>
      <c r="S337" s="383" t="s">
        <v>168</v>
      </c>
      <c r="T337" s="27"/>
      <c r="U337" s="81"/>
      <c r="V337" s="82"/>
      <c r="W337" s="81"/>
      <c r="X337" s="63"/>
      <c r="Y337" s="139"/>
      <c r="Z337" s="131"/>
      <c r="AA337" s="140"/>
      <c r="AB337" s="141"/>
      <c r="AC337" s="141"/>
    </row>
    <row r="338" spans="1:29" ht="21.75" customHeight="1">
      <c r="A338" s="377" t="s">
        <v>28</v>
      </c>
      <c r="B338" s="186"/>
      <c r="C338" s="188"/>
      <c r="D338" s="169" t="s">
        <v>206</v>
      </c>
      <c r="E338" s="124" t="s">
        <v>1492</v>
      </c>
      <c r="F338" s="319">
        <v>43678</v>
      </c>
      <c r="G338" s="627"/>
      <c r="H338" s="627"/>
      <c r="I338" s="628"/>
      <c r="J338" s="508" t="s">
        <v>1493</v>
      </c>
      <c r="K338" s="379" t="s">
        <v>1494</v>
      </c>
      <c r="L338" s="125" t="s">
        <v>1495</v>
      </c>
      <c r="M338" s="380">
        <v>2</v>
      </c>
      <c r="N338" s="236" t="s">
        <v>17</v>
      </c>
      <c r="O338" s="235"/>
      <c r="P338" s="90">
        <f t="shared" si="22"/>
        <v>2</v>
      </c>
      <c r="Q338" s="382" t="s">
        <v>2226</v>
      </c>
      <c r="R338" s="726"/>
      <c r="S338" s="383">
        <v>44280</v>
      </c>
      <c r="T338" s="27"/>
      <c r="U338" s="81"/>
      <c r="V338" s="82"/>
      <c r="W338" s="81"/>
      <c r="X338" s="63"/>
      <c r="Y338" s="139"/>
      <c r="Z338" s="131"/>
      <c r="AA338" s="140"/>
      <c r="AB338" s="141"/>
      <c r="AC338" s="141"/>
    </row>
    <row r="339" spans="1:29" ht="21.75" customHeight="1">
      <c r="A339" s="377" t="s">
        <v>20</v>
      </c>
      <c r="B339" s="186"/>
      <c r="C339" s="188"/>
      <c r="D339" s="169" t="s">
        <v>206</v>
      </c>
      <c r="E339" s="124" t="s">
        <v>137</v>
      </c>
      <c r="F339" s="319" t="s">
        <v>2100</v>
      </c>
      <c r="G339" s="627"/>
      <c r="H339" s="627"/>
      <c r="I339" s="628"/>
      <c r="J339" s="508" t="s">
        <v>2186</v>
      </c>
      <c r="K339" s="379" t="s">
        <v>292</v>
      </c>
      <c r="L339" s="125" t="s">
        <v>10</v>
      </c>
      <c r="M339" s="380">
        <v>51</v>
      </c>
      <c r="N339" s="236" t="s">
        <v>17</v>
      </c>
      <c r="O339" s="235"/>
      <c r="P339" s="90">
        <f t="shared" ref="P339:P356" si="23">IF(O339="",M339,M339-O339)</f>
        <v>51</v>
      </c>
      <c r="Q339" s="382"/>
      <c r="R339" s="726"/>
      <c r="S339" s="383" t="s">
        <v>2143</v>
      </c>
      <c r="T339" s="27"/>
      <c r="U339" s="81"/>
      <c r="V339" s="82"/>
      <c r="W339" s="81"/>
      <c r="X339" s="63"/>
      <c r="Y339" s="139"/>
      <c r="Z339" s="131"/>
      <c r="AA339" s="140"/>
      <c r="AB339" s="141"/>
      <c r="AC339" s="141"/>
    </row>
    <row r="340" spans="1:29" ht="21.75" customHeight="1">
      <c r="A340" s="377" t="s">
        <v>28</v>
      </c>
      <c r="B340" s="186"/>
      <c r="C340" s="188"/>
      <c r="D340" s="169" t="s">
        <v>569</v>
      </c>
      <c r="E340" s="124" t="s">
        <v>2363</v>
      </c>
      <c r="F340" s="319">
        <v>43690</v>
      </c>
      <c r="G340" s="627"/>
      <c r="H340" s="627"/>
      <c r="I340" s="628"/>
      <c r="J340" s="508" t="s">
        <v>1342</v>
      </c>
      <c r="K340" s="379" t="s">
        <v>1343</v>
      </c>
      <c r="L340" s="125" t="s">
        <v>1595</v>
      </c>
      <c r="M340" s="380">
        <v>10</v>
      </c>
      <c r="N340" s="236" t="s">
        <v>17</v>
      </c>
      <c r="O340" s="235"/>
      <c r="P340" s="90">
        <f t="shared" si="23"/>
        <v>10</v>
      </c>
      <c r="Q340" s="382"/>
      <c r="R340" s="726"/>
      <c r="S340" s="383" t="s">
        <v>168</v>
      </c>
      <c r="T340" s="27"/>
      <c r="U340" s="81"/>
      <c r="V340" s="82"/>
      <c r="W340" s="81"/>
      <c r="X340" s="63"/>
      <c r="Y340" s="139"/>
      <c r="Z340" s="131"/>
      <c r="AA340" s="140"/>
      <c r="AB340" s="141"/>
      <c r="AC340" s="141"/>
    </row>
    <row r="341" spans="1:29" ht="21.75" customHeight="1">
      <c r="A341" s="377" t="s">
        <v>28</v>
      </c>
      <c r="B341" s="186"/>
      <c r="C341" s="188"/>
      <c r="D341" s="169" t="s">
        <v>569</v>
      </c>
      <c r="E341" s="124" t="s">
        <v>2170</v>
      </c>
      <c r="F341" s="319">
        <v>43670</v>
      </c>
      <c r="G341" s="627"/>
      <c r="H341" s="627"/>
      <c r="I341" s="628"/>
      <c r="J341" s="508" t="s">
        <v>2169</v>
      </c>
      <c r="K341" s="379" t="s">
        <v>337</v>
      </c>
      <c r="L341" s="125" t="s">
        <v>212</v>
      </c>
      <c r="M341" s="380">
        <v>3</v>
      </c>
      <c r="N341" s="236" t="s">
        <v>17</v>
      </c>
      <c r="O341" s="235"/>
      <c r="P341" s="90">
        <f t="shared" ref="P341:P342" si="24">IF(O341="",M341,M341-O341)</f>
        <v>3</v>
      </c>
      <c r="Q341" s="382"/>
      <c r="R341" s="726"/>
      <c r="S341" s="383" t="s">
        <v>168</v>
      </c>
      <c r="T341" s="27"/>
      <c r="U341" s="81"/>
      <c r="V341" s="82"/>
      <c r="W341" s="81"/>
      <c r="X341" s="63"/>
      <c r="Y341" s="139"/>
      <c r="Z341" s="131"/>
      <c r="AA341" s="140"/>
      <c r="AB341" s="141"/>
      <c r="AC341" s="141"/>
    </row>
    <row r="342" spans="1:29" ht="21.75" customHeight="1">
      <c r="A342" s="377" t="s">
        <v>28</v>
      </c>
      <c r="B342" s="186"/>
      <c r="C342" s="188"/>
      <c r="D342" s="169" t="s">
        <v>569</v>
      </c>
      <c r="E342" s="124" t="s">
        <v>1686</v>
      </c>
      <c r="F342" s="319">
        <v>43670</v>
      </c>
      <c r="G342" s="627"/>
      <c r="H342" s="627"/>
      <c r="I342" s="628"/>
      <c r="J342" s="508" t="s">
        <v>1687</v>
      </c>
      <c r="K342" s="379" t="s">
        <v>253</v>
      </c>
      <c r="L342" s="125" t="s">
        <v>212</v>
      </c>
      <c r="M342" s="380">
        <v>2</v>
      </c>
      <c r="N342" s="236" t="s">
        <v>17</v>
      </c>
      <c r="O342" s="235"/>
      <c r="P342" s="90">
        <f t="shared" si="24"/>
        <v>2</v>
      </c>
      <c r="Q342" s="382"/>
      <c r="R342" s="726"/>
      <c r="S342" s="383" t="s">
        <v>168</v>
      </c>
      <c r="T342" s="27"/>
      <c r="U342" s="81"/>
      <c r="V342" s="82"/>
      <c r="W342" s="81"/>
      <c r="X342" s="63"/>
      <c r="Y342" s="139"/>
      <c r="Z342" s="131"/>
      <c r="AA342" s="140"/>
      <c r="AB342" s="141"/>
      <c r="AC342" s="141"/>
    </row>
    <row r="343" spans="1:29" ht="21.75" customHeight="1">
      <c r="A343" s="377" t="s">
        <v>28</v>
      </c>
      <c r="B343" s="186"/>
      <c r="C343" s="188"/>
      <c r="D343" s="169" t="s">
        <v>569</v>
      </c>
      <c r="E343" s="124" t="s">
        <v>1805</v>
      </c>
      <c r="F343" s="319" t="s">
        <v>2195</v>
      </c>
      <c r="G343" s="627"/>
      <c r="H343" s="627"/>
      <c r="I343" s="628"/>
      <c r="J343" s="508" t="s">
        <v>1806</v>
      </c>
      <c r="K343" s="379" t="s">
        <v>1807</v>
      </c>
      <c r="L343" s="125" t="s">
        <v>2196</v>
      </c>
      <c r="M343" s="380">
        <v>9</v>
      </c>
      <c r="N343" s="236" t="s">
        <v>17</v>
      </c>
      <c r="O343" s="235">
        <v>8</v>
      </c>
      <c r="P343" s="90">
        <f t="shared" si="23"/>
        <v>1</v>
      </c>
      <c r="Q343" s="382"/>
      <c r="R343" s="726" t="s">
        <v>2313</v>
      </c>
      <c r="S343" s="383"/>
      <c r="T343" s="27"/>
      <c r="U343" s="81"/>
      <c r="V343" s="82"/>
      <c r="W343" s="81"/>
      <c r="X343" s="63"/>
      <c r="Y343" s="139"/>
      <c r="Z343" s="131"/>
      <c r="AA343" s="140"/>
      <c r="AB343" s="141"/>
      <c r="AC343" s="141"/>
    </row>
    <row r="344" spans="1:29" s="168" customFormat="1" ht="21.75" customHeight="1">
      <c r="A344" s="359" t="s">
        <v>20</v>
      </c>
      <c r="B344" s="157"/>
      <c r="C344" s="158"/>
      <c r="D344" s="169" t="s">
        <v>570</v>
      </c>
      <c r="E344" s="124" t="s">
        <v>1726</v>
      </c>
      <c r="F344" s="320" t="s">
        <v>1722</v>
      </c>
      <c r="G344" s="625"/>
      <c r="H344" s="626"/>
      <c r="I344" s="624"/>
      <c r="J344" s="506" t="s">
        <v>1347</v>
      </c>
      <c r="K344" s="125" t="s">
        <v>831</v>
      </c>
      <c r="L344" s="133" t="s">
        <v>86</v>
      </c>
      <c r="M344" s="714">
        <v>31</v>
      </c>
      <c r="N344" s="127" t="s">
        <v>17</v>
      </c>
      <c r="O344" s="235"/>
      <c r="P344" s="90">
        <f t="shared" si="23"/>
        <v>31</v>
      </c>
      <c r="Q344" s="283"/>
      <c r="R344" s="726"/>
      <c r="S344" s="383" t="s">
        <v>2259</v>
      </c>
      <c r="T344" s="159"/>
      <c r="U344" s="160"/>
      <c r="V344" s="512"/>
      <c r="W344" s="160"/>
      <c r="X344" s="163"/>
      <c r="Y344" s="163"/>
      <c r="Z344" s="164"/>
      <c r="AA344" s="165"/>
      <c r="AB344" s="166"/>
      <c r="AC344" s="167"/>
    </row>
    <row r="345" spans="1:29" ht="21.75" customHeight="1">
      <c r="A345" s="377" t="s">
        <v>28</v>
      </c>
      <c r="B345" s="186"/>
      <c r="C345" s="188" t="str">
        <f>K$2</f>
        <v>10/08/2019</v>
      </c>
      <c r="D345" s="169" t="s">
        <v>787</v>
      </c>
      <c r="E345" s="124" t="s">
        <v>846</v>
      </c>
      <c r="F345" s="319">
        <v>43665</v>
      </c>
      <c r="G345" s="627"/>
      <c r="H345" s="627"/>
      <c r="I345" s="628"/>
      <c r="J345" s="508" t="s">
        <v>443</v>
      </c>
      <c r="K345" s="379" t="s">
        <v>263</v>
      </c>
      <c r="L345" s="125" t="s">
        <v>152</v>
      </c>
      <c r="M345" s="380">
        <v>31</v>
      </c>
      <c r="N345" s="236" t="s">
        <v>18</v>
      </c>
      <c r="O345" s="235"/>
      <c r="P345" s="90">
        <f t="shared" si="23"/>
        <v>31</v>
      </c>
      <c r="Q345" s="382"/>
      <c r="R345" s="726"/>
      <c r="S345" s="383">
        <v>44060</v>
      </c>
      <c r="T345" s="27"/>
      <c r="U345" s="81"/>
      <c r="V345" s="82"/>
      <c r="W345" s="81"/>
      <c r="X345" s="63"/>
      <c r="Y345" s="139"/>
      <c r="Z345" s="131"/>
      <c r="AA345" s="140"/>
      <c r="AB345" s="141"/>
      <c r="AC345" s="141"/>
    </row>
    <row r="346" spans="1:29" ht="21.75" customHeight="1">
      <c r="A346" s="377" t="s">
        <v>20</v>
      </c>
      <c r="B346" s="186"/>
      <c r="C346" s="188" t="str">
        <f>K$2</f>
        <v>10/08/2019</v>
      </c>
      <c r="D346" s="169" t="s">
        <v>50</v>
      </c>
      <c r="E346" s="124"/>
      <c r="F346" s="319" t="s">
        <v>236</v>
      </c>
      <c r="G346" s="627"/>
      <c r="H346" s="627"/>
      <c r="I346" s="628"/>
      <c r="J346" s="508"/>
      <c r="K346" s="379" t="s">
        <v>237</v>
      </c>
      <c r="L346" s="125" t="s">
        <v>1193</v>
      </c>
      <c r="M346" s="380">
        <v>1</v>
      </c>
      <c r="N346" s="236" t="s">
        <v>18</v>
      </c>
      <c r="O346" s="235"/>
      <c r="P346" s="90">
        <f t="shared" si="23"/>
        <v>1</v>
      </c>
      <c r="Q346" s="382"/>
      <c r="R346" s="726"/>
      <c r="S346" s="383" t="s">
        <v>168</v>
      </c>
      <c r="T346" s="27"/>
      <c r="U346" s="81"/>
      <c r="V346" s="82"/>
      <c r="W346" s="81"/>
      <c r="X346" s="63"/>
      <c r="Y346" s="139"/>
      <c r="Z346" s="131"/>
      <c r="AA346" s="140"/>
      <c r="AB346" s="141"/>
      <c r="AC346" s="141"/>
    </row>
    <row r="347" spans="1:29" ht="21.75" customHeight="1">
      <c r="A347" s="377" t="s">
        <v>20</v>
      </c>
      <c r="B347" s="186"/>
      <c r="C347" s="188"/>
      <c r="D347" s="169" t="s">
        <v>50</v>
      </c>
      <c r="E347" s="124"/>
      <c r="F347" s="319" t="s">
        <v>266</v>
      </c>
      <c r="G347" s="627"/>
      <c r="H347" s="627"/>
      <c r="I347" s="628"/>
      <c r="J347" s="508"/>
      <c r="K347" s="379" t="s">
        <v>267</v>
      </c>
      <c r="L347" s="125" t="s">
        <v>269</v>
      </c>
      <c r="M347" s="380">
        <v>1</v>
      </c>
      <c r="N347" s="236" t="s">
        <v>268</v>
      </c>
      <c r="O347" s="235"/>
      <c r="P347" s="90">
        <f t="shared" si="23"/>
        <v>1</v>
      </c>
      <c r="Q347" s="382"/>
      <c r="R347" s="726"/>
      <c r="S347" s="383" t="s">
        <v>168</v>
      </c>
      <c r="T347" s="27"/>
      <c r="U347" s="81"/>
      <c r="V347" s="82"/>
      <c r="W347" s="81"/>
      <c r="X347" s="63"/>
      <c r="Y347" s="139"/>
      <c r="Z347" s="131"/>
      <c r="AA347" s="140"/>
      <c r="AB347" s="141"/>
      <c r="AC347" s="141"/>
    </row>
    <row r="348" spans="1:29" ht="21.75" customHeight="1">
      <c r="A348" s="377" t="s">
        <v>66</v>
      </c>
      <c r="B348" s="186"/>
      <c r="C348" s="188"/>
      <c r="D348" s="169" t="s">
        <v>722</v>
      </c>
      <c r="E348" s="124" t="s">
        <v>1359</v>
      </c>
      <c r="F348" s="319">
        <v>43589</v>
      </c>
      <c r="G348" s="627"/>
      <c r="H348" s="627"/>
      <c r="I348" s="628"/>
      <c r="J348" s="508" t="s">
        <v>1828</v>
      </c>
      <c r="K348" s="379" t="s">
        <v>992</v>
      </c>
      <c r="L348" s="125" t="s">
        <v>1361</v>
      </c>
      <c r="M348" s="380">
        <v>43</v>
      </c>
      <c r="N348" s="236" t="s">
        <v>17</v>
      </c>
      <c r="O348" s="235"/>
      <c r="P348" s="90">
        <f t="shared" si="23"/>
        <v>43</v>
      </c>
      <c r="Q348" s="382"/>
      <c r="R348" s="726"/>
      <c r="S348" s="383" t="s">
        <v>1818</v>
      </c>
      <c r="T348" s="27"/>
      <c r="U348" s="81"/>
      <c r="V348" s="82"/>
      <c r="W348" s="81"/>
      <c r="X348" s="63"/>
      <c r="Y348" s="139"/>
      <c r="Z348" s="131"/>
      <c r="AA348" s="140"/>
      <c r="AB348" s="141"/>
      <c r="AC348" s="141"/>
    </row>
    <row r="349" spans="1:29" ht="21.75" customHeight="1">
      <c r="A349" s="377" t="s">
        <v>28</v>
      </c>
      <c r="B349" s="186"/>
      <c r="C349" s="188"/>
      <c r="D349" s="169" t="s">
        <v>582</v>
      </c>
      <c r="E349" s="124" t="s">
        <v>2363</v>
      </c>
      <c r="F349" s="319">
        <v>43690</v>
      </c>
      <c r="G349" s="627"/>
      <c r="H349" s="627"/>
      <c r="I349" s="628"/>
      <c r="J349" s="508" t="s">
        <v>1342</v>
      </c>
      <c r="K349" s="379" t="s">
        <v>1343</v>
      </c>
      <c r="L349" s="125" t="s">
        <v>1595</v>
      </c>
      <c r="M349" s="380">
        <v>50</v>
      </c>
      <c r="N349" s="236" t="s">
        <v>17</v>
      </c>
      <c r="O349" s="235"/>
      <c r="P349" s="90">
        <f t="shared" ref="P349" si="25">IF(O349="",M349,M349-O349)</f>
        <v>50</v>
      </c>
      <c r="Q349" s="382"/>
      <c r="R349" s="726"/>
      <c r="S349" s="383" t="s">
        <v>168</v>
      </c>
      <c r="T349" s="27"/>
      <c r="U349" s="81"/>
      <c r="V349" s="82"/>
      <c r="W349" s="81"/>
      <c r="X349" s="63"/>
      <c r="Y349" s="139"/>
      <c r="Z349" s="131"/>
      <c r="AA349" s="140"/>
      <c r="AB349" s="141"/>
      <c r="AC349" s="141"/>
    </row>
    <row r="350" spans="1:29" s="168" customFormat="1" ht="21.75" customHeight="1">
      <c r="A350" s="359" t="s">
        <v>52</v>
      </c>
      <c r="B350" s="157"/>
      <c r="C350" s="158"/>
      <c r="D350" s="51" t="s">
        <v>582</v>
      </c>
      <c r="E350" s="536" t="s">
        <v>1384</v>
      </c>
      <c r="F350" s="601" t="s">
        <v>1935</v>
      </c>
      <c r="G350" s="625"/>
      <c r="H350" s="626"/>
      <c r="I350" s="624"/>
      <c r="J350" s="610" t="s">
        <v>2187</v>
      </c>
      <c r="K350" s="541" t="s">
        <v>1393</v>
      </c>
      <c r="L350" s="252" t="s">
        <v>1394</v>
      </c>
      <c r="M350" s="764">
        <v>11</v>
      </c>
      <c r="N350" s="547" t="s">
        <v>17</v>
      </c>
      <c r="O350" s="537">
        <v>11</v>
      </c>
      <c r="P350" s="603">
        <f t="shared" si="23"/>
        <v>0</v>
      </c>
      <c r="Q350" s="283"/>
      <c r="R350" s="726" t="s">
        <v>2304</v>
      </c>
      <c r="S350" s="383" t="s">
        <v>2109</v>
      </c>
      <c r="T350" s="159"/>
      <c r="U350" s="160"/>
      <c r="V350" s="512"/>
      <c r="W350" s="160"/>
      <c r="X350" s="163"/>
      <c r="Y350" s="163"/>
      <c r="Z350" s="164"/>
      <c r="AA350" s="165"/>
      <c r="AB350" s="166"/>
      <c r="AC350" s="167"/>
    </row>
    <row r="351" spans="1:29" s="168" customFormat="1" ht="21.75" customHeight="1">
      <c r="A351" s="359" t="s">
        <v>20</v>
      </c>
      <c r="B351" s="157"/>
      <c r="C351" s="158"/>
      <c r="D351" s="15" t="s">
        <v>606</v>
      </c>
      <c r="E351" s="124" t="s">
        <v>2024</v>
      </c>
      <c r="F351" s="320" t="s">
        <v>1902</v>
      </c>
      <c r="G351" s="625"/>
      <c r="H351" s="626"/>
      <c r="I351" s="624" t="s">
        <v>2333</v>
      </c>
      <c r="J351" s="506" t="s">
        <v>2050</v>
      </c>
      <c r="K351" s="125" t="s">
        <v>300</v>
      </c>
      <c r="L351" s="133" t="s">
        <v>2051</v>
      </c>
      <c r="M351" s="370">
        <v>60</v>
      </c>
      <c r="N351" s="127" t="s">
        <v>17</v>
      </c>
      <c r="O351" s="235">
        <v>4</v>
      </c>
      <c r="P351" s="90">
        <f t="shared" si="23"/>
        <v>56</v>
      </c>
      <c r="Q351" s="283"/>
      <c r="R351" s="726" t="s">
        <v>2334</v>
      </c>
      <c r="S351" s="383" t="s">
        <v>2025</v>
      </c>
      <c r="T351" s="159"/>
      <c r="U351" s="160"/>
      <c r="V351" s="512"/>
      <c r="W351" s="160"/>
      <c r="X351" s="163"/>
      <c r="Y351" s="163"/>
      <c r="Z351" s="164"/>
      <c r="AA351" s="165"/>
      <c r="AB351" s="166"/>
      <c r="AC351" s="167"/>
    </row>
    <row r="352" spans="1:29" ht="20.25" customHeight="1">
      <c r="A352" s="377"/>
      <c r="B352" s="186"/>
      <c r="C352" s="188"/>
      <c r="D352" s="15" t="s">
        <v>606</v>
      </c>
      <c r="E352" s="124" t="s">
        <v>2202</v>
      </c>
      <c r="F352" s="378">
        <v>43285</v>
      </c>
      <c r="G352" s="627"/>
      <c r="H352" s="631"/>
      <c r="I352" s="632"/>
      <c r="J352" s="517" t="s">
        <v>1328</v>
      </c>
      <c r="K352" s="125" t="s">
        <v>1329</v>
      </c>
      <c r="L352" s="133" t="s">
        <v>1330</v>
      </c>
      <c r="M352" s="514">
        <v>1</v>
      </c>
      <c r="N352" s="127" t="s">
        <v>17</v>
      </c>
      <c r="O352" s="126"/>
      <c r="P352" s="90">
        <f t="shared" si="23"/>
        <v>1</v>
      </c>
      <c r="Q352" s="498"/>
      <c r="R352" s="726"/>
      <c r="S352" s="383"/>
      <c r="T352" s="27"/>
      <c r="U352" s="81"/>
      <c r="V352" s="82"/>
      <c r="W352" s="81"/>
      <c r="X352" s="63"/>
      <c r="Y352" s="139"/>
      <c r="Z352" s="131"/>
      <c r="AA352" s="140"/>
      <c r="AB352" s="141"/>
      <c r="AC352" s="141"/>
    </row>
    <row r="353" spans="1:29" s="168" customFormat="1" ht="21.75" customHeight="1">
      <c r="A353" s="359" t="s">
        <v>20</v>
      </c>
      <c r="B353" s="157"/>
      <c r="C353" s="158"/>
      <c r="D353" s="15" t="s">
        <v>1851</v>
      </c>
      <c r="E353" s="124" t="s">
        <v>106</v>
      </c>
      <c r="F353" s="320" t="s">
        <v>1902</v>
      </c>
      <c r="G353" s="625"/>
      <c r="H353" s="626"/>
      <c r="I353" s="624"/>
      <c r="J353" s="506" t="s">
        <v>107</v>
      </c>
      <c r="K353" s="125" t="s">
        <v>108</v>
      </c>
      <c r="L353" s="133" t="s">
        <v>8</v>
      </c>
      <c r="M353" s="714">
        <v>22</v>
      </c>
      <c r="N353" s="127" t="s">
        <v>17</v>
      </c>
      <c r="O353" s="235"/>
      <c r="P353" s="90">
        <f t="shared" si="23"/>
        <v>22</v>
      </c>
      <c r="Q353" s="283"/>
      <c r="R353" s="726"/>
      <c r="S353" s="383" t="s">
        <v>2163</v>
      </c>
      <c r="T353" s="159"/>
      <c r="U353" s="160"/>
      <c r="V353" s="512"/>
      <c r="W353" s="160"/>
      <c r="X353" s="163"/>
      <c r="Y353" s="163"/>
      <c r="Z353" s="164"/>
      <c r="AA353" s="165"/>
      <c r="AB353" s="166"/>
      <c r="AC353" s="167"/>
    </row>
    <row r="354" spans="1:29" s="168" customFormat="1" ht="18.75" customHeight="1">
      <c r="A354" s="377" t="s">
        <v>28</v>
      </c>
      <c r="B354" s="157"/>
      <c r="C354" s="158"/>
      <c r="D354" s="15" t="s">
        <v>174</v>
      </c>
      <c r="E354" s="124" t="s">
        <v>1882</v>
      </c>
      <c r="F354" s="706" t="s">
        <v>1861</v>
      </c>
      <c r="G354" s="708"/>
      <c r="H354" s="711"/>
      <c r="I354" s="707"/>
      <c r="J354" s="716" t="s">
        <v>1864</v>
      </c>
      <c r="K354" s="715"/>
      <c r="L354" s="705" t="s">
        <v>1750</v>
      </c>
      <c r="M354" s="714">
        <v>14</v>
      </c>
      <c r="N354" s="127" t="s">
        <v>17</v>
      </c>
      <c r="O354" s="712"/>
      <c r="P354" s="90">
        <f t="shared" si="23"/>
        <v>14</v>
      </c>
      <c r="Q354" s="709"/>
      <c r="R354" s="726"/>
      <c r="S354" s="713"/>
      <c r="T354" s="159"/>
      <c r="U354" s="160"/>
      <c r="V354" s="512"/>
      <c r="W354" s="160"/>
      <c r="X354" s="163"/>
      <c r="Y354" s="163"/>
      <c r="Z354" s="164"/>
      <c r="AA354" s="165"/>
      <c r="AB354" s="166"/>
      <c r="AC354" s="167"/>
    </row>
    <row r="355" spans="1:29" s="141" customFormat="1" ht="20.25" customHeight="1">
      <c r="A355" s="377" t="s">
        <v>20</v>
      </c>
      <c r="B355" s="186"/>
      <c r="C355" s="188"/>
      <c r="D355" s="261" t="s">
        <v>780</v>
      </c>
      <c r="E355" s="262"/>
      <c r="F355" s="355"/>
      <c r="G355" s="625"/>
      <c r="H355" s="626"/>
      <c r="I355" s="624"/>
      <c r="J355" s="516" t="s">
        <v>1211</v>
      </c>
      <c r="K355" s="258" t="s">
        <v>546</v>
      </c>
      <c r="L355" s="354" t="s">
        <v>1212</v>
      </c>
      <c r="M355" s="372">
        <v>1</v>
      </c>
      <c r="N355" s="357" t="s">
        <v>268</v>
      </c>
      <c r="O355" s="235"/>
      <c r="P355" s="90">
        <f t="shared" si="23"/>
        <v>1</v>
      </c>
      <c r="Q355" s="329"/>
      <c r="R355" s="726"/>
      <c r="S355" s="337" t="s">
        <v>168</v>
      </c>
      <c r="T355" s="54"/>
      <c r="U355" s="73"/>
      <c r="V355" s="74"/>
      <c r="W355" s="73"/>
      <c r="X355" s="66"/>
      <c r="Y355" s="66"/>
      <c r="Z355" s="67"/>
      <c r="AA355" s="68"/>
      <c r="AB355" s="142"/>
      <c r="AC355" s="117"/>
    </row>
    <row r="356" spans="1:29" s="141" customFormat="1" ht="20.25" customHeight="1">
      <c r="A356" s="377" t="s">
        <v>66</v>
      </c>
      <c r="B356" s="186"/>
      <c r="C356" s="188"/>
      <c r="D356" s="15" t="s">
        <v>700</v>
      </c>
      <c r="E356" s="124" t="s">
        <v>896</v>
      </c>
      <c r="F356" s="378" t="s">
        <v>2031</v>
      </c>
      <c r="G356" s="627"/>
      <c r="H356" s="631"/>
      <c r="I356" s="632"/>
      <c r="J356" s="517" t="s">
        <v>2115</v>
      </c>
      <c r="K356" s="125" t="s">
        <v>995</v>
      </c>
      <c r="L356" s="125" t="s">
        <v>8</v>
      </c>
      <c r="M356" s="710">
        <v>14</v>
      </c>
      <c r="N356" s="135" t="s">
        <v>17</v>
      </c>
      <c r="O356" s="235"/>
      <c r="P356" s="90">
        <f t="shared" si="23"/>
        <v>14</v>
      </c>
      <c r="Q356" s="382" t="s">
        <v>2166</v>
      </c>
      <c r="R356" s="726"/>
      <c r="S356" s="383" t="s">
        <v>2032</v>
      </c>
      <c r="T356" s="27"/>
      <c r="U356" s="81"/>
      <c r="V356" s="82"/>
      <c r="W356" s="81"/>
      <c r="X356" s="63"/>
      <c r="Y356" s="139"/>
      <c r="Z356" s="131"/>
      <c r="AA356" s="140"/>
    </row>
    <row r="357" spans="1:29" s="141" customFormat="1" ht="20.25" customHeight="1">
      <c r="A357" s="377" t="s">
        <v>66</v>
      </c>
      <c r="B357" s="186"/>
      <c r="C357" s="188"/>
      <c r="D357" s="15" t="s">
        <v>700</v>
      </c>
      <c r="E357" s="124" t="s">
        <v>1483</v>
      </c>
      <c r="F357" s="378" t="s">
        <v>2031</v>
      </c>
      <c r="G357" s="627"/>
      <c r="H357" s="631"/>
      <c r="I357" s="632"/>
      <c r="J357" s="517" t="s">
        <v>2116</v>
      </c>
      <c r="K357" s="125" t="s">
        <v>997</v>
      </c>
      <c r="L357" s="125" t="s">
        <v>1484</v>
      </c>
      <c r="M357" s="710">
        <v>9</v>
      </c>
      <c r="N357" s="135" t="s">
        <v>17</v>
      </c>
      <c r="O357" s="235"/>
      <c r="P357" s="90">
        <f t="shared" ref="P357:P395" si="26">IF(O357="",M357,M357-O357)</f>
        <v>9</v>
      </c>
      <c r="Q357" s="382"/>
      <c r="R357" s="726"/>
      <c r="S357" s="383" t="s">
        <v>2034</v>
      </c>
      <c r="T357" s="27"/>
      <c r="U357" s="81"/>
      <c r="V357" s="82"/>
      <c r="W357" s="81"/>
      <c r="X357" s="63"/>
      <c r="Y357" s="139"/>
      <c r="Z357" s="131"/>
      <c r="AA357" s="140"/>
    </row>
    <row r="358" spans="1:29" s="141" customFormat="1" ht="20.25" customHeight="1">
      <c r="A358" s="377" t="s">
        <v>66</v>
      </c>
      <c r="B358" s="186"/>
      <c r="C358" s="188"/>
      <c r="D358" s="15" t="s">
        <v>700</v>
      </c>
      <c r="E358" s="124" t="s">
        <v>1317</v>
      </c>
      <c r="F358" s="378" t="s">
        <v>2031</v>
      </c>
      <c r="G358" s="627"/>
      <c r="H358" s="631"/>
      <c r="I358" s="632"/>
      <c r="J358" s="517" t="s">
        <v>2117</v>
      </c>
      <c r="K358" s="125" t="s">
        <v>1030</v>
      </c>
      <c r="L358" s="125" t="s">
        <v>1318</v>
      </c>
      <c r="M358" s="710">
        <v>48</v>
      </c>
      <c r="N358" s="135" t="s">
        <v>17</v>
      </c>
      <c r="O358" s="235"/>
      <c r="P358" s="90">
        <f t="shared" si="26"/>
        <v>48</v>
      </c>
      <c r="Q358" s="382"/>
      <c r="R358" s="726"/>
      <c r="S358" s="383" t="s">
        <v>2118</v>
      </c>
      <c r="T358" s="27"/>
      <c r="U358" s="81"/>
      <c r="V358" s="82"/>
      <c r="W358" s="81"/>
      <c r="X358" s="63"/>
      <c r="Y358" s="139"/>
      <c r="Z358" s="131"/>
      <c r="AA358" s="140"/>
    </row>
    <row r="359" spans="1:29" ht="20.25" customHeight="1">
      <c r="A359" s="359" t="s">
        <v>66</v>
      </c>
      <c r="D359" s="15" t="s">
        <v>654</v>
      </c>
      <c r="E359" s="124" t="s">
        <v>140</v>
      </c>
      <c r="F359" s="321" t="s">
        <v>1918</v>
      </c>
      <c r="G359" s="625"/>
      <c r="H359" s="626"/>
      <c r="I359" s="624"/>
      <c r="J359" s="506" t="s">
        <v>1919</v>
      </c>
      <c r="K359" s="125" t="s">
        <v>1001</v>
      </c>
      <c r="L359" s="133" t="s">
        <v>81</v>
      </c>
      <c r="M359" s="370">
        <v>54</v>
      </c>
      <c r="N359" s="171" t="s">
        <v>17</v>
      </c>
      <c r="O359" s="235"/>
      <c r="P359" s="90">
        <f t="shared" si="26"/>
        <v>54</v>
      </c>
      <c r="Q359" s="332"/>
      <c r="R359" s="726"/>
      <c r="S359" s="288" t="s">
        <v>1897</v>
      </c>
      <c r="T359" s="27"/>
      <c r="U359" s="81"/>
      <c r="V359" s="738"/>
      <c r="W359" s="744"/>
      <c r="X359" s="60"/>
      <c r="Y359" s="60"/>
      <c r="Z359" s="83"/>
      <c r="AA359" s="62"/>
      <c r="AB359" s="142"/>
      <c r="AC359" s="117"/>
    </row>
    <row r="360" spans="1:29" s="141" customFormat="1" ht="20.25" customHeight="1">
      <c r="A360" s="377" t="s">
        <v>20</v>
      </c>
      <c r="B360" s="186"/>
      <c r="C360" s="188"/>
      <c r="D360" s="15" t="s">
        <v>810</v>
      </c>
      <c r="E360" s="124" t="s">
        <v>72</v>
      </c>
      <c r="F360" s="378" t="s">
        <v>1922</v>
      </c>
      <c r="G360" s="627"/>
      <c r="H360" s="631"/>
      <c r="I360" s="632" t="s">
        <v>2360</v>
      </c>
      <c r="J360" s="517" t="s">
        <v>2335</v>
      </c>
      <c r="K360" s="125" t="s">
        <v>13</v>
      </c>
      <c r="L360" s="125" t="s">
        <v>11</v>
      </c>
      <c r="M360" s="514">
        <v>48</v>
      </c>
      <c r="N360" s="135" t="s">
        <v>17</v>
      </c>
      <c r="O360" s="235"/>
      <c r="P360" s="90">
        <f t="shared" ref="P360:P362" si="27">IF(O360="",M360,M360-O360)</f>
        <v>48</v>
      </c>
      <c r="Q360" s="382"/>
      <c r="R360" s="629"/>
      <c r="S360" s="383" t="s">
        <v>1846</v>
      </c>
      <c r="T360" s="27"/>
      <c r="U360" s="81"/>
      <c r="V360" s="82"/>
      <c r="W360" s="81"/>
      <c r="X360" s="63"/>
      <c r="Y360" s="139"/>
      <c r="Z360" s="131"/>
      <c r="AA360" s="140"/>
    </row>
    <row r="361" spans="1:29" s="168" customFormat="1" ht="21.75" customHeight="1">
      <c r="A361" s="359" t="s">
        <v>52</v>
      </c>
      <c r="B361" s="157"/>
      <c r="C361" s="158"/>
      <c r="D361" s="15" t="s">
        <v>810</v>
      </c>
      <c r="E361" s="124" t="s">
        <v>1423</v>
      </c>
      <c r="F361" s="320" t="s">
        <v>2260</v>
      </c>
      <c r="G361" s="625"/>
      <c r="H361" s="626"/>
      <c r="I361" s="632" t="s">
        <v>2361</v>
      </c>
      <c r="J361" s="506" t="s">
        <v>1424</v>
      </c>
      <c r="K361" s="125" t="s">
        <v>880</v>
      </c>
      <c r="L361" s="133" t="s">
        <v>1425</v>
      </c>
      <c r="M361" s="714">
        <v>8</v>
      </c>
      <c r="N361" s="127" t="s">
        <v>17</v>
      </c>
      <c r="O361" s="235"/>
      <c r="P361" s="90">
        <f t="shared" si="27"/>
        <v>8</v>
      </c>
      <c r="Q361" s="283"/>
      <c r="R361" s="726"/>
      <c r="S361" s="383" t="s">
        <v>2261</v>
      </c>
      <c r="T361" s="159"/>
      <c r="U361" s="160"/>
      <c r="V361" s="512"/>
      <c r="W361" s="160"/>
      <c r="X361" s="163"/>
      <c r="Y361" s="163"/>
      <c r="Z361" s="164"/>
      <c r="AA361" s="165"/>
      <c r="AB361" s="166"/>
      <c r="AC361" s="167"/>
    </row>
    <row r="362" spans="1:29" s="168" customFormat="1" ht="21.75" customHeight="1">
      <c r="A362" s="359" t="s">
        <v>28</v>
      </c>
      <c r="B362" s="157"/>
      <c r="C362" s="158"/>
      <c r="D362" s="15" t="s">
        <v>810</v>
      </c>
      <c r="E362" s="124" t="s">
        <v>2197</v>
      </c>
      <c r="F362" s="320" t="s">
        <v>2198</v>
      </c>
      <c r="G362" s="625"/>
      <c r="H362" s="626"/>
      <c r="I362" s="632" t="s">
        <v>2362</v>
      </c>
      <c r="J362" s="506" t="s">
        <v>2199</v>
      </c>
      <c r="K362" s="125" t="s">
        <v>2200</v>
      </c>
      <c r="L362" s="133" t="s">
        <v>2201</v>
      </c>
      <c r="M362" s="714">
        <v>1</v>
      </c>
      <c r="N362" s="127" t="s">
        <v>17</v>
      </c>
      <c r="O362" s="235"/>
      <c r="P362" s="90">
        <f t="shared" si="27"/>
        <v>1</v>
      </c>
      <c r="Q362" s="283"/>
      <c r="R362" s="726"/>
      <c r="S362" s="383" t="s">
        <v>168</v>
      </c>
      <c r="T362" s="159"/>
      <c r="U362" s="160"/>
      <c r="V362" s="512"/>
      <c r="W362" s="160"/>
      <c r="X362" s="163"/>
      <c r="Y362" s="163"/>
      <c r="Z362" s="164"/>
      <c r="AA362" s="165"/>
      <c r="AB362" s="166"/>
      <c r="AC362" s="167"/>
    </row>
    <row r="363" spans="1:29" s="168" customFormat="1" ht="20.25">
      <c r="A363" s="359" t="s">
        <v>66</v>
      </c>
      <c r="B363" s="157"/>
      <c r="C363" s="158"/>
      <c r="D363" s="15" t="s">
        <v>1260</v>
      </c>
      <c r="E363" s="124" t="s">
        <v>241</v>
      </c>
      <c r="F363" s="320">
        <v>43560</v>
      </c>
      <c r="G363" s="625"/>
      <c r="H363" s="626"/>
      <c r="I363" s="624"/>
      <c r="J363" s="506" t="s">
        <v>2249</v>
      </c>
      <c r="K363" s="125" t="s">
        <v>1250</v>
      </c>
      <c r="L363" s="133" t="s">
        <v>2250</v>
      </c>
      <c r="M363" s="370">
        <v>7</v>
      </c>
      <c r="N363" s="171" t="s">
        <v>17</v>
      </c>
      <c r="O363" s="235"/>
      <c r="P363" s="90">
        <f t="shared" si="26"/>
        <v>7</v>
      </c>
      <c r="Q363" s="526"/>
      <c r="R363" s="726"/>
      <c r="S363" s="277" t="s">
        <v>1818</v>
      </c>
      <c r="T363" s="159"/>
      <c r="U363" s="160"/>
      <c r="V363" s="512"/>
      <c r="W363" s="160"/>
      <c r="X363" s="163"/>
      <c r="Y363" s="163"/>
      <c r="Z363" s="164"/>
      <c r="AA363" s="165"/>
      <c r="AB363" s="166"/>
      <c r="AC363" s="167"/>
    </row>
    <row r="364" spans="1:29" s="168" customFormat="1" ht="21.75" customHeight="1">
      <c r="A364" s="359" t="s">
        <v>28</v>
      </c>
      <c r="B364" s="157"/>
      <c r="C364" s="158"/>
      <c r="D364" s="15" t="s">
        <v>1260</v>
      </c>
      <c r="E364" s="124" t="s">
        <v>2172</v>
      </c>
      <c r="F364" s="320">
        <v>43641</v>
      </c>
      <c r="G364" s="625"/>
      <c r="H364" s="626"/>
      <c r="I364" s="624"/>
      <c r="J364" s="506" t="s">
        <v>2171</v>
      </c>
      <c r="K364" s="125" t="s">
        <v>256</v>
      </c>
      <c r="L364" s="133" t="s">
        <v>83</v>
      </c>
      <c r="M364" s="714">
        <v>6</v>
      </c>
      <c r="N364" s="127" t="s">
        <v>17</v>
      </c>
      <c r="O364" s="235"/>
      <c r="P364" s="90">
        <f t="shared" si="26"/>
        <v>6</v>
      </c>
      <c r="Q364" s="283"/>
      <c r="R364" s="726"/>
      <c r="S364" s="383" t="s">
        <v>168</v>
      </c>
      <c r="T364" s="159"/>
      <c r="U364" s="160"/>
      <c r="V364" s="512"/>
      <c r="W364" s="160"/>
      <c r="X364" s="163"/>
      <c r="Y364" s="163"/>
      <c r="Z364" s="164"/>
      <c r="AA364" s="165"/>
      <c r="AB364" s="166"/>
      <c r="AC364" s="167"/>
    </row>
    <row r="365" spans="1:29" s="168" customFormat="1" ht="18.75" customHeight="1">
      <c r="A365" s="377" t="s">
        <v>20</v>
      </c>
      <c r="B365" s="157"/>
      <c r="C365" s="158"/>
      <c r="D365" s="15" t="s">
        <v>1260</v>
      </c>
      <c r="E365" s="124" t="s">
        <v>486</v>
      </c>
      <c r="F365" s="320">
        <v>43263</v>
      </c>
      <c r="G365" s="625"/>
      <c r="H365" s="626"/>
      <c r="I365" s="624"/>
      <c r="J365" s="506" t="s">
        <v>136</v>
      </c>
      <c r="K365" s="125" t="s">
        <v>1008</v>
      </c>
      <c r="L365" s="133" t="s">
        <v>1335</v>
      </c>
      <c r="M365" s="370">
        <v>11</v>
      </c>
      <c r="N365" s="127" t="s">
        <v>17</v>
      </c>
      <c r="O365" s="235">
        <v>6</v>
      </c>
      <c r="P365" s="90">
        <f t="shared" si="26"/>
        <v>5</v>
      </c>
      <c r="Q365" s="283"/>
      <c r="R365" s="752" t="s">
        <v>2288</v>
      </c>
      <c r="S365" s="277">
        <v>43692</v>
      </c>
      <c r="T365" s="159"/>
      <c r="U365" s="160"/>
      <c r="V365" s="161"/>
      <c r="W365" s="162"/>
      <c r="X365" s="163"/>
      <c r="Y365" s="163"/>
      <c r="Z365" s="164">
        <v>2500</v>
      </c>
      <c r="AA365" s="165"/>
      <c r="AB365" s="166"/>
      <c r="AC365" s="167"/>
    </row>
    <row r="366" spans="1:29" s="168" customFormat="1" ht="18.75" customHeight="1">
      <c r="A366" s="359" t="s">
        <v>20</v>
      </c>
      <c r="B366" s="157"/>
      <c r="C366" s="158"/>
      <c r="D366" s="51" t="s">
        <v>1260</v>
      </c>
      <c r="E366" s="536" t="s">
        <v>2024</v>
      </c>
      <c r="F366" s="601" t="s">
        <v>1902</v>
      </c>
      <c r="G366" s="625"/>
      <c r="H366" s="626"/>
      <c r="I366" s="624"/>
      <c r="J366" s="610" t="s">
        <v>2050</v>
      </c>
      <c r="K366" s="541" t="s">
        <v>300</v>
      </c>
      <c r="L366" s="252" t="s">
        <v>2051</v>
      </c>
      <c r="M366" s="764">
        <v>13</v>
      </c>
      <c r="N366" s="547" t="s">
        <v>17</v>
      </c>
      <c r="O366" s="537">
        <v>13</v>
      </c>
      <c r="P366" s="603">
        <f t="shared" si="26"/>
        <v>0</v>
      </c>
      <c r="Q366" s="283"/>
      <c r="R366" s="726" t="s">
        <v>2289</v>
      </c>
      <c r="S366" s="383" t="s">
        <v>2025</v>
      </c>
      <c r="T366" s="159"/>
      <c r="U366" s="160"/>
      <c r="V366" s="512"/>
      <c r="W366" s="160"/>
      <c r="X366" s="163"/>
      <c r="Y366" s="163"/>
      <c r="Z366" s="164"/>
      <c r="AA366" s="165"/>
      <c r="AB366" s="166"/>
      <c r="AC366" s="167"/>
    </row>
    <row r="367" spans="1:29" s="168" customFormat="1" ht="18.75" customHeight="1">
      <c r="A367" s="377" t="s">
        <v>66</v>
      </c>
      <c r="B367" s="157"/>
      <c r="C367" s="158"/>
      <c r="D367" s="15" t="s">
        <v>1260</v>
      </c>
      <c r="E367" s="124" t="s">
        <v>1317</v>
      </c>
      <c r="F367" s="321" t="s">
        <v>1782</v>
      </c>
      <c r="G367" s="625"/>
      <c r="H367" s="626"/>
      <c r="I367" s="624"/>
      <c r="J367" s="506" t="s">
        <v>1790</v>
      </c>
      <c r="K367" s="125" t="s">
        <v>1030</v>
      </c>
      <c r="L367" s="133" t="s">
        <v>1318</v>
      </c>
      <c r="M367" s="370">
        <v>5</v>
      </c>
      <c r="N367" s="127" t="s">
        <v>17</v>
      </c>
      <c r="O367" s="235">
        <v>2</v>
      </c>
      <c r="P367" s="90">
        <f t="shared" si="26"/>
        <v>3</v>
      </c>
      <c r="Q367" s="283"/>
      <c r="R367" s="752" t="s">
        <v>938</v>
      </c>
      <c r="S367" s="288" t="s">
        <v>1766</v>
      </c>
      <c r="T367" s="159"/>
      <c r="U367" s="160"/>
      <c r="V367" s="161"/>
      <c r="W367" s="162"/>
      <c r="X367" s="163"/>
      <c r="Y367" s="163"/>
      <c r="Z367" s="164"/>
      <c r="AA367" s="165"/>
      <c r="AB367" s="166"/>
      <c r="AC367" s="167"/>
    </row>
    <row r="368" spans="1:29" s="141" customFormat="1" ht="20.25" customHeight="1">
      <c r="A368" s="377" t="s">
        <v>20</v>
      </c>
      <c r="B368" s="186"/>
      <c r="C368" s="188"/>
      <c r="D368" s="51" t="s">
        <v>810</v>
      </c>
      <c r="E368" s="536" t="s">
        <v>72</v>
      </c>
      <c r="F368" s="538" t="s">
        <v>1922</v>
      </c>
      <c r="G368" s="627"/>
      <c r="H368" s="631"/>
      <c r="I368" s="632" t="s">
        <v>2359</v>
      </c>
      <c r="J368" s="756" t="s">
        <v>2335</v>
      </c>
      <c r="K368" s="541" t="s">
        <v>13</v>
      </c>
      <c r="L368" s="541" t="s">
        <v>11</v>
      </c>
      <c r="M368" s="762">
        <v>48</v>
      </c>
      <c r="N368" s="763" t="s">
        <v>17</v>
      </c>
      <c r="O368" s="537">
        <v>48</v>
      </c>
      <c r="P368" s="603">
        <f t="shared" si="26"/>
        <v>0</v>
      </c>
      <c r="Q368" s="382"/>
      <c r="R368" s="629"/>
      <c r="S368" s="383" t="s">
        <v>1846</v>
      </c>
      <c r="T368" s="27"/>
      <c r="U368" s="81"/>
      <c r="V368" s="82"/>
      <c r="W368" s="81"/>
      <c r="X368" s="63"/>
      <c r="Y368" s="139"/>
      <c r="Z368" s="131"/>
      <c r="AA368" s="140"/>
    </row>
    <row r="369" spans="1:29" s="168" customFormat="1" ht="21.75" customHeight="1">
      <c r="A369" s="359" t="s">
        <v>52</v>
      </c>
      <c r="B369" s="157"/>
      <c r="C369" s="158"/>
      <c r="D369" s="51" t="s">
        <v>810</v>
      </c>
      <c r="E369" s="536" t="s">
        <v>1423</v>
      </c>
      <c r="F369" s="601" t="s">
        <v>2260</v>
      </c>
      <c r="G369" s="625"/>
      <c r="H369" s="626"/>
      <c r="I369" s="624" t="s">
        <v>2357</v>
      </c>
      <c r="J369" s="610" t="s">
        <v>1424</v>
      </c>
      <c r="K369" s="541" t="s">
        <v>880</v>
      </c>
      <c r="L369" s="252" t="s">
        <v>1425</v>
      </c>
      <c r="M369" s="764">
        <v>8</v>
      </c>
      <c r="N369" s="547" t="s">
        <v>17</v>
      </c>
      <c r="O369" s="537">
        <v>8</v>
      </c>
      <c r="P369" s="603">
        <f t="shared" si="26"/>
        <v>0</v>
      </c>
      <c r="Q369" s="283"/>
      <c r="R369" s="726"/>
      <c r="S369" s="383" t="s">
        <v>2261</v>
      </c>
      <c r="T369" s="159"/>
      <c r="U369" s="160"/>
      <c r="V369" s="512"/>
      <c r="W369" s="160"/>
      <c r="X369" s="163"/>
      <c r="Y369" s="163"/>
      <c r="Z369" s="164"/>
      <c r="AA369" s="165"/>
      <c r="AB369" s="166"/>
      <c r="AC369" s="167"/>
    </row>
    <row r="370" spans="1:29" s="168" customFormat="1" ht="21.75" customHeight="1">
      <c r="A370" s="359" t="s">
        <v>28</v>
      </c>
      <c r="B370" s="157"/>
      <c r="C370" s="158"/>
      <c r="D370" s="51" t="s">
        <v>810</v>
      </c>
      <c r="E370" s="536" t="s">
        <v>2197</v>
      </c>
      <c r="F370" s="601" t="s">
        <v>2198</v>
      </c>
      <c r="G370" s="625"/>
      <c r="H370" s="626"/>
      <c r="I370" s="624" t="s">
        <v>2358</v>
      </c>
      <c r="J370" s="610" t="s">
        <v>2199</v>
      </c>
      <c r="K370" s="541" t="s">
        <v>2200</v>
      </c>
      <c r="L370" s="252" t="s">
        <v>2201</v>
      </c>
      <c r="M370" s="764">
        <v>5</v>
      </c>
      <c r="N370" s="547" t="s">
        <v>17</v>
      </c>
      <c r="O370" s="537">
        <v>5</v>
      </c>
      <c r="P370" s="603">
        <f t="shared" si="26"/>
        <v>0</v>
      </c>
      <c r="Q370" s="283"/>
      <c r="R370" s="726" t="s">
        <v>1292</v>
      </c>
      <c r="S370" s="383" t="s">
        <v>168</v>
      </c>
      <c r="T370" s="159"/>
      <c r="U370" s="160"/>
      <c r="V370" s="512"/>
      <c r="W370" s="160"/>
      <c r="X370" s="163"/>
      <c r="Y370" s="163"/>
      <c r="Z370" s="164"/>
      <c r="AA370" s="165"/>
      <c r="AB370" s="166"/>
      <c r="AC370" s="167"/>
    </row>
    <row r="371" spans="1:29" s="168" customFormat="1" ht="18.75" customHeight="1">
      <c r="A371" s="359" t="s">
        <v>20</v>
      </c>
      <c r="B371" s="157"/>
      <c r="C371" s="158"/>
      <c r="D371" s="249" t="s">
        <v>741</v>
      </c>
      <c r="E371" s="124" t="s">
        <v>1061</v>
      </c>
      <c r="F371" s="320">
        <v>43446</v>
      </c>
      <c r="G371" s="625"/>
      <c r="H371" s="626"/>
      <c r="I371" s="628"/>
      <c r="J371" s="506" t="s">
        <v>1062</v>
      </c>
      <c r="K371" s="125" t="s">
        <v>1063</v>
      </c>
      <c r="L371" s="133" t="s">
        <v>1064</v>
      </c>
      <c r="M371" s="370">
        <v>1.8</v>
      </c>
      <c r="N371" s="127" t="s">
        <v>17</v>
      </c>
      <c r="O371" s="235"/>
      <c r="P371" s="90">
        <f t="shared" si="26"/>
        <v>1.8</v>
      </c>
      <c r="Q371" s="283"/>
      <c r="R371" s="726"/>
      <c r="S371" s="277" t="s">
        <v>1727</v>
      </c>
      <c r="T371" s="159"/>
      <c r="U371" s="160"/>
      <c r="V371" s="512"/>
      <c r="W371" s="160"/>
      <c r="X371" s="163"/>
      <c r="Y371" s="163"/>
      <c r="Z371" s="164"/>
      <c r="AA371" s="165"/>
      <c r="AB371" s="166"/>
      <c r="AC371" s="167"/>
    </row>
    <row r="372" spans="1:29" s="168" customFormat="1" ht="18.75" customHeight="1">
      <c r="A372" s="359" t="s">
        <v>20</v>
      </c>
      <c r="B372" s="157"/>
      <c r="C372" s="158"/>
      <c r="D372" s="249" t="s">
        <v>741</v>
      </c>
      <c r="E372" s="124" t="s">
        <v>1508</v>
      </c>
      <c r="F372" s="320">
        <v>43446</v>
      </c>
      <c r="G372" s="625"/>
      <c r="H372" s="626"/>
      <c r="I372" s="628"/>
      <c r="J372" s="506" t="s">
        <v>1505</v>
      </c>
      <c r="K372" s="125" t="s">
        <v>1506</v>
      </c>
      <c r="L372" s="133" t="s">
        <v>1507</v>
      </c>
      <c r="M372" s="370">
        <v>4</v>
      </c>
      <c r="N372" s="127" t="s">
        <v>17</v>
      </c>
      <c r="O372" s="235"/>
      <c r="P372" s="90">
        <f t="shared" si="26"/>
        <v>4</v>
      </c>
      <c r="Q372" s="283"/>
      <c r="R372" s="726"/>
      <c r="S372" s="277">
        <v>43768</v>
      </c>
      <c r="T372" s="159"/>
      <c r="U372" s="160"/>
      <c r="V372" s="512"/>
      <c r="W372" s="160"/>
      <c r="X372" s="163"/>
      <c r="Y372" s="163"/>
      <c r="Z372" s="164"/>
      <c r="AA372" s="165"/>
      <c r="AB372" s="166"/>
      <c r="AC372" s="167"/>
    </row>
    <row r="373" spans="1:29" ht="20.25">
      <c r="A373" s="359" t="s">
        <v>20</v>
      </c>
      <c r="B373" s="186"/>
      <c r="C373" s="188"/>
      <c r="D373" s="249" t="s">
        <v>741</v>
      </c>
      <c r="E373" s="124" t="s">
        <v>385</v>
      </c>
      <c r="F373" s="319">
        <v>42452</v>
      </c>
      <c r="G373" s="627"/>
      <c r="H373" s="627"/>
      <c r="I373" s="624"/>
      <c r="J373" s="718" t="s">
        <v>402</v>
      </c>
      <c r="K373" s="125" t="s">
        <v>386</v>
      </c>
      <c r="L373" s="125" t="s">
        <v>1194</v>
      </c>
      <c r="M373" s="380">
        <v>1</v>
      </c>
      <c r="N373" s="127" t="s">
        <v>17</v>
      </c>
      <c r="O373" s="126"/>
      <c r="P373" s="90">
        <f t="shared" si="26"/>
        <v>1</v>
      </c>
      <c r="Q373" s="382"/>
      <c r="R373" s="726"/>
      <c r="S373" s="383" t="s">
        <v>168</v>
      </c>
      <c r="T373" s="27"/>
      <c r="U373" s="81"/>
      <c r="V373" s="738"/>
      <c r="W373" s="81"/>
      <c r="X373" s="63"/>
      <c r="Y373" s="139"/>
      <c r="Z373" s="131">
        <v>20000</v>
      </c>
      <c r="AA373" s="140"/>
      <c r="AB373" s="141"/>
      <c r="AC373" s="141"/>
    </row>
    <row r="374" spans="1:29" ht="20.25" customHeight="1">
      <c r="A374" s="377" t="s">
        <v>20</v>
      </c>
      <c r="B374" s="186"/>
      <c r="C374" s="188"/>
      <c r="D374" s="249" t="s">
        <v>741</v>
      </c>
      <c r="E374" s="124" t="s">
        <v>522</v>
      </c>
      <c r="F374" s="319">
        <v>43439</v>
      </c>
      <c r="G374" s="627"/>
      <c r="H374" s="627"/>
      <c r="I374" s="624"/>
      <c r="J374" s="718" t="s">
        <v>1743</v>
      </c>
      <c r="K374" s="125" t="s">
        <v>1006</v>
      </c>
      <c r="L374" s="125" t="s">
        <v>523</v>
      </c>
      <c r="M374" s="380">
        <v>5</v>
      </c>
      <c r="N374" s="127" t="s">
        <v>17</v>
      </c>
      <c r="O374" s="126"/>
      <c r="P374" s="90">
        <f t="shared" si="26"/>
        <v>5</v>
      </c>
      <c r="Q374" s="382" t="s">
        <v>1744</v>
      </c>
      <c r="R374" s="726"/>
      <c r="S374" s="383">
        <v>44100</v>
      </c>
      <c r="T374" s="27"/>
      <c r="U374" s="81"/>
      <c r="V374" s="82"/>
      <c r="W374" s="81"/>
      <c r="X374" s="63"/>
      <c r="Y374" s="139"/>
      <c r="Z374" s="131"/>
      <c r="AA374" s="140"/>
      <c r="AB374" s="141"/>
      <c r="AC374" s="141"/>
    </row>
    <row r="375" spans="1:29" ht="20.25" customHeight="1">
      <c r="A375" s="359" t="s">
        <v>20</v>
      </c>
      <c r="B375" s="186"/>
      <c r="C375" s="188"/>
      <c r="D375" s="249" t="s">
        <v>741</v>
      </c>
      <c r="E375" s="124" t="s">
        <v>1777</v>
      </c>
      <c r="F375" s="319">
        <v>43368</v>
      </c>
      <c r="G375" s="627"/>
      <c r="H375" s="627"/>
      <c r="I375" s="624"/>
      <c r="J375" s="718" t="s">
        <v>832</v>
      </c>
      <c r="K375" s="125" t="s">
        <v>833</v>
      </c>
      <c r="L375" s="125" t="s">
        <v>86</v>
      </c>
      <c r="M375" s="380">
        <v>5</v>
      </c>
      <c r="N375" s="236" t="s">
        <v>17</v>
      </c>
      <c r="O375" s="235"/>
      <c r="P375" s="90">
        <f t="shared" si="26"/>
        <v>5</v>
      </c>
      <c r="Q375" s="382"/>
      <c r="R375" s="726"/>
      <c r="S375" s="553" t="s">
        <v>1558</v>
      </c>
      <c r="T375" s="27"/>
      <c r="U375" s="81"/>
      <c r="V375" s="738"/>
      <c r="W375" s="744"/>
      <c r="X375" s="63"/>
      <c r="Y375" s="139"/>
      <c r="Z375" s="131"/>
      <c r="AA375" s="140"/>
      <c r="AB375" s="141"/>
      <c r="AC375" s="141"/>
    </row>
    <row r="376" spans="1:29" ht="20.25" customHeight="1">
      <c r="A376" s="359" t="s">
        <v>20</v>
      </c>
      <c r="B376" s="53"/>
      <c r="C376" s="84"/>
      <c r="D376" s="249" t="s">
        <v>741</v>
      </c>
      <c r="E376" s="207" t="s">
        <v>385</v>
      </c>
      <c r="F376" s="318">
        <v>42452</v>
      </c>
      <c r="G376" s="622"/>
      <c r="H376" s="623"/>
      <c r="I376" s="624"/>
      <c r="J376" s="518" t="s">
        <v>402</v>
      </c>
      <c r="K376" s="133" t="s">
        <v>386</v>
      </c>
      <c r="L376" s="133" t="s">
        <v>1194</v>
      </c>
      <c r="M376" s="368">
        <v>1</v>
      </c>
      <c r="N376" s="171" t="s">
        <v>17</v>
      </c>
      <c r="O376" s="235"/>
      <c r="P376" s="90">
        <f t="shared" si="26"/>
        <v>1</v>
      </c>
      <c r="Q376" s="327"/>
      <c r="R376" s="726"/>
      <c r="S376" s="288" t="s">
        <v>168</v>
      </c>
      <c r="T376" s="178"/>
      <c r="U376" s="91"/>
      <c r="V376" s="674"/>
      <c r="W376" s="342"/>
      <c r="X376" s="153"/>
      <c r="Y376" s="153"/>
      <c r="Z376" s="179">
        <v>20000</v>
      </c>
      <c r="AA376" s="155"/>
      <c r="AB376" s="115"/>
      <c r="AC376" s="132"/>
    </row>
    <row r="377" spans="1:29" s="53" customFormat="1" ht="20.25" customHeight="1">
      <c r="A377" s="359" t="s">
        <v>20</v>
      </c>
      <c r="C377" s="76"/>
      <c r="D377" s="249" t="s">
        <v>741</v>
      </c>
      <c r="E377" s="260" t="s">
        <v>325</v>
      </c>
      <c r="F377" s="320">
        <v>42235</v>
      </c>
      <c r="G377" s="627"/>
      <c r="H377" s="631"/>
      <c r="I377" s="624"/>
      <c r="J377" s="506" t="s">
        <v>1169</v>
      </c>
      <c r="K377" s="125" t="s">
        <v>326</v>
      </c>
      <c r="L377" s="133" t="s">
        <v>1195</v>
      </c>
      <c r="M377" s="369">
        <v>1650</v>
      </c>
      <c r="N377" s="259" t="s">
        <v>1134</v>
      </c>
      <c r="O377" s="235"/>
      <c r="P377" s="90">
        <f t="shared" si="26"/>
        <v>1650</v>
      </c>
      <c r="Q377" s="271" t="s">
        <v>1588</v>
      </c>
      <c r="R377" s="726"/>
      <c r="S377" s="288" t="s">
        <v>168</v>
      </c>
      <c r="T377" s="27"/>
      <c r="U377" s="8"/>
      <c r="V377" s="121"/>
      <c r="W377" s="8"/>
      <c r="X377" s="63"/>
      <c r="Y377" s="63"/>
      <c r="Z377" s="64">
        <v>18000</v>
      </c>
      <c r="AA377" s="65"/>
      <c r="AB377"/>
      <c r="AC377"/>
    </row>
    <row r="378" spans="1:29" s="45" customFormat="1" ht="20.25" customHeight="1">
      <c r="A378" s="377" t="s">
        <v>66</v>
      </c>
      <c r="B378" s="58"/>
      <c r="C378" s="76" t="str">
        <f>K$2</f>
        <v>10/08/2019</v>
      </c>
      <c r="D378" s="249" t="s">
        <v>741</v>
      </c>
      <c r="E378" s="124" t="s">
        <v>1076</v>
      </c>
      <c r="F378" s="319">
        <v>43172</v>
      </c>
      <c r="G378" s="627"/>
      <c r="H378" s="631"/>
      <c r="I378" s="624"/>
      <c r="J378" s="517" t="s">
        <v>1189</v>
      </c>
      <c r="K378" s="125" t="s">
        <v>449</v>
      </c>
      <c r="L378" s="133" t="s">
        <v>1190</v>
      </c>
      <c r="M378" s="369">
        <v>4</v>
      </c>
      <c r="N378" s="236" t="s">
        <v>17</v>
      </c>
      <c r="O378" s="235"/>
      <c r="P378" s="90">
        <f t="shared" si="26"/>
        <v>4</v>
      </c>
      <c r="Q378" s="271"/>
      <c r="R378" s="726"/>
      <c r="S378" s="288" t="s">
        <v>168</v>
      </c>
      <c r="T378" s="27"/>
      <c r="U378" s="8"/>
      <c r="V378" s="121"/>
      <c r="W378" s="8"/>
      <c r="X378" s="63"/>
      <c r="Y378" s="63">
        <f>1/5</f>
        <v>0.2</v>
      </c>
      <c r="Z378" s="64"/>
      <c r="AA378" s="65"/>
      <c r="AB378"/>
      <c r="AC378"/>
    </row>
    <row r="379" spans="1:29" s="141" customFormat="1" ht="20.25" customHeight="1">
      <c r="A379" s="359" t="s">
        <v>20</v>
      </c>
      <c r="B379" s="186"/>
      <c r="C379" s="188"/>
      <c r="D379" s="249" t="s">
        <v>560</v>
      </c>
      <c r="E379" s="124" t="s">
        <v>1500</v>
      </c>
      <c r="F379" s="319">
        <v>43565</v>
      </c>
      <c r="G379" s="627"/>
      <c r="H379" s="631"/>
      <c r="I379" s="632"/>
      <c r="J379" s="517" t="s">
        <v>1501</v>
      </c>
      <c r="K379" s="125" t="s">
        <v>901</v>
      </c>
      <c r="L379" s="125" t="s">
        <v>6</v>
      </c>
      <c r="M379" s="514">
        <v>20</v>
      </c>
      <c r="N379" s="135" t="s">
        <v>17</v>
      </c>
      <c r="O379" s="235"/>
      <c r="P379" s="90">
        <f t="shared" si="26"/>
        <v>20</v>
      </c>
      <c r="Q379" s="382"/>
      <c r="R379" s="726"/>
      <c r="S379" s="383">
        <v>44257</v>
      </c>
      <c r="T379" s="27"/>
      <c r="U379" s="81"/>
      <c r="V379" s="82"/>
      <c r="W379" s="81"/>
      <c r="X379" s="63"/>
      <c r="Y379" s="139"/>
      <c r="Z379" s="131"/>
      <c r="AA379" s="140"/>
    </row>
    <row r="380" spans="1:29" s="141" customFormat="1" ht="20.25" customHeight="1">
      <c r="A380" s="359" t="s">
        <v>20</v>
      </c>
      <c r="B380" s="186"/>
      <c r="C380" s="188"/>
      <c r="D380" s="249" t="s">
        <v>560</v>
      </c>
      <c r="E380" s="124" t="s">
        <v>1834</v>
      </c>
      <c r="F380" s="319">
        <v>43565</v>
      </c>
      <c r="G380" s="627"/>
      <c r="H380" s="631"/>
      <c r="I380" s="632"/>
      <c r="J380" s="517" t="s">
        <v>1835</v>
      </c>
      <c r="K380" s="125" t="s">
        <v>1836</v>
      </c>
      <c r="L380" s="125" t="s">
        <v>1837</v>
      </c>
      <c r="M380" s="514">
        <v>2</v>
      </c>
      <c r="N380" s="135" t="s">
        <v>17</v>
      </c>
      <c r="O380" s="235"/>
      <c r="P380" s="90">
        <f t="shared" si="26"/>
        <v>2</v>
      </c>
      <c r="Q380" s="382"/>
      <c r="R380" s="726"/>
      <c r="S380" s="383"/>
      <c r="T380" s="27"/>
      <c r="U380" s="81"/>
      <c r="V380" s="82"/>
      <c r="W380" s="81"/>
      <c r="X380" s="63"/>
      <c r="Y380" s="139"/>
      <c r="Z380" s="131"/>
      <c r="AA380" s="140"/>
    </row>
    <row r="381" spans="1:29" ht="21.75" customHeight="1">
      <c r="A381" s="377" t="s">
        <v>28</v>
      </c>
      <c r="B381" s="186"/>
      <c r="C381" s="188"/>
      <c r="D381" s="249" t="s">
        <v>115</v>
      </c>
      <c r="E381" s="124" t="s">
        <v>406</v>
      </c>
      <c r="F381" s="319" t="s">
        <v>2046</v>
      </c>
      <c r="G381" s="627"/>
      <c r="H381" s="627"/>
      <c r="I381" s="628"/>
      <c r="J381" s="508" t="s">
        <v>104</v>
      </c>
      <c r="K381" s="379" t="s">
        <v>67</v>
      </c>
      <c r="L381" s="125" t="s">
        <v>1404</v>
      </c>
      <c r="M381" s="380">
        <v>14</v>
      </c>
      <c r="N381" s="236" t="s">
        <v>17</v>
      </c>
      <c r="O381" s="235"/>
      <c r="P381" s="90">
        <f t="shared" si="26"/>
        <v>14</v>
      </c>
      <c r="Q381" s="382"/>
      <c r="R381" s="726"/>
      <c r="S381" s="383" t="s">
        <v>168</v>
      </c>
      <c r="T381" s="27"/>
      <c r="U381" s="81"/>
      <c r="V381" s="82"/>
      <c r="W381" s="81"/>
      <c r="X381" s="63"/>
      <c r="Y381" s="139"/>
      <c r="Z381" s="131"/>
      <c r="AA381" s="140"/>
      <c r="AB381" s="141"/>
      <c r="AC381" s="141"/>
    </row>
    <row r="382" spans="1:29" ht="21.75" customHeight="1">
      <c r="A382" s="377" t="s">
        <v>28</v>
      </c>
      <c r="B382" s="186"/>
      <c r="C382" s="188"/>
      <c r="D382" s="249" t="s">
        <v>115</v>
      </c>
      <c r="E382" s="124" t="s">
        <v>406</v>
      </c>
      <c r="F382" s="319" t="s">
        <v>2046</v>
      </c>
      <c r="G382" s="627"/>
      <c r="H382" s="627"/>
      <c r="I382" s="628"/>
      <c r="J382" s="508" t="s">
        <v>104</v>
      </c>
      <c r="K382" s="379" t="s">
        <v>67</v>
      </c>
      <c r="L382" s="125" t="s">
        <v>1404</v>
      </c>
      <c r="M382" s="380">
        <v>1</v>
      </c>
      <c r="N382" s="236" t="s">
        <v>17</v>
      </c>
      <c r="O382" s="235"/>
      <c r="P382" s="90">
        <f t="shared" si="26"/>
        <v>1</v>
      </c>
      <c r="Q382" s="326" t="s">
        <v>2047</v>
      </c>
      <c r="R382" s="726"/>
      <c r="S382" s="383" t="s">
        <v>168</v>
      </c>
      <c r="T382" s="27"/>
      <c r="U382" s="81"/>
      <c r="V382" s="82"/>
      <c r="W382" s="81"/>
      <c r="X382" s="63"/>
      <c r="Y382" s="139"/>
      <c r="Z382" s="131"/>
      <c r="AA382" s="140"/>
      <c r="AB382" s="141"/>
      <c r="AC382" s="141"/>
    </row>
    <row r="383" spans="1:29" ht="21.75" customHeight="1">
      <c r="A383" s="377" t="s">
        <v>28</v>
      </c>
      <c r="B383" s="186"/>
      <c r="C383" s="188"/>
      <c r="D383" s="249" t="s">
        <v>115</v>
      </c>
      <c r="E383" s="124" t="s">
        <v>2054</v>
      </c>
      <c r="F383" s="319" t="s">
        <v>2046</v>
      </c>
      <c r="G383" s="627"/>
      <c r="H383" s="627"/>
      <c r="I383" s="628"/>
      <c r="J383" s="508" t="s">
        <v>2048</v>
      </c>
      <c r="K383" s="379" t="s">
        <v>947</v>
      </c>
      <c r="L383" s="125" t="s">
        <v>2049</v>
      </c>
      <c r="M383" s="380">
        <v>3</v>
      </c>
      <c r="N383" s="236" t="s">
        <v>948</v>
      </c>
      <c r="O383" s="235"/>
      <c r="P383" s="90">
        <f t="shared" si="26"/>
        <v>3</v>
      </c>
      <c r="Q383" s="326"/>
      <c r="R383" s="726"/>
      <c r="S383" s="383" t="s">
        <v>168</v>
      </c>
      <c r="T383" s="27"/>
      <c r="U383" s="81"/>
      <c r="V383" s="82"/>
      <c r="W383" s="81"/>
      <c r="X383" s="63"/>
      <c r="Y383" s="139"/>
      <c r="Z383" s="131"/>
      <c r="AA383" s="140"/>
      <c r="AB383" s="141"/>
      <c r="AC383" s="141"/>
    </row>
    <row r="384" spans="1:29" s="141" customFormat="1" ht="20.25" customHeight="1">
      <c r="A384" s="377" t="s">
        <v>20</v>
      </c>
      <c r="B384" s="186"/>
      <c r="C384" s="188"/>
      <c r="D384" s="261" t="s">
        <v>816</v>
      </c>
      <c r="E384" s="262"/>
      <c r="F384" s="355"/>
      <c r="G384" s="625"/>
      <c r="H384" s="626"/>
      <c r="I384" s="624"/>
      <c r="J384" s="516" t="s">
        <v>1211</v>
      </c>
      <c r="K384" s="258" t="s">
        <v>546</v>
      </c>
      <c r="L384" s="354" t="s">
        <v>1212</v>
      </c>
      <c r="M384" s="372">
        <v>1</v>
      </c>
      <c r="N384" s="357" t="s">
        <v>268</v>
      </c>
      <c r="O384" s="235"/>
      <c r="P384" s="90">
        <f t="shared" si="26"/>
        <v>1</v>
      </c>
      <c r="Q384" s="329"/>
      <c r="R384" s="726"/>
      <c r="S384" s="337" t="s">
        <v>168</v>
      </c>
      <c r="T384" s="54"/>
      <c r="U384" s="73"/>
      <c r="V384" s="74"/>
      <c r="W384" s="73"/>
      <c r="X384" s="66"/>
      <c r="Y384" s="66"/>
      <c r="Z384" s="67"/>
      <c r="AA384" s="68"/>
      <c r="AB384" s="142"/>
      <c r="AC384" s="117"/>
    </row>
    <row r="385" spans="1:29" ht="20.25" customHeight="1">
      <c r="A385" s="359" t="s">
        <v>28</v>
      </c>
      <c r="C385" s="84"/>
      <c r="D385" s="169" t="s">
        <v>811</v>
      </c>
      <c r="E385" s="124" t="s">
        <v>1937</v>
      </c>
      <c r="F385" s="323" t="s">
        <v>1932</v>
      </c>
      <c r="G385" s="627"/>
      <c r="H385" s="631"/>
      <c r="I385" s="624"/>
      <c r="J385" s="506" t="s">
        <v>1342</v>
      </c>
      <c r="K385" s="125" t="s">
        <v>1343</v>
      </c>
      <c r="L385" s="133" t="s">
        <v>1595</v>
      </c>
      <c r="M385" s="370">
        <v>54</v>
      </c>
      <c r="N385" s="127" t="s">
        <v>17</v>
      </c>
      <c r="O385" s="235">
        <v>5</v>
      </c>
      <c r="P385" s="90">
        <f t="shared" si="26"/>
        <v>49</v>
      </c>
      <c r="Q385" s="271"/>
      <c r="R385" s="726" t="s">
        <v>2295</v>
      </c>
      <c r="S385" s="383" t="s">
        <v>1904</v>
      </c>
      <c r="T385" s="54"/>
      <c r="U385" s="73"/>
      <c r="V385" s="74"/>
      <c r="W385" s="73"/>
      <c r="X385" s="66"/>
      <c r="Y385" s="66"/>
      <c r="Z385" s="67"/>
      <c r="AA385" s="68"/>
      <c r="AB385" s="142"/>
      <c r="AC385" s="117"/>
    </row>
    <row r="386" spans="1:29" ht="20.25" customHeight="1">
      <c r="A386" s="377" t="s">
        <v>66</v>
      </c>
      <c r="D386" s="169" t="s">
        <v>373</v>
      </c>
      <c r="E386" s="124" t="s">
        <v>1483</v>
      </c>
      <c r="F386" s="321" t="s">
        <v>2031</v>
      </c>
      <c r="G386" s="625"/>
      <c r="H386" s="626"/>
      <c r="I386" s="624"/>
      <c r="J386" s="506" t="s">
        <v>2033</v>
      </c>
      <c r="K386" s="125" t="s">
        <v>997</v>
      </c>
      <c r="L386" s="133" t="s">
        <v>1484</v>
      </c>
      <c r="M386" s="714">
        <v>91</v>
      </c>
      <c r="N386" s="171" t="s">
        <v>17</v>
      </c>
      <c r="O386" s="235">
        <v>16</v>
      </c>
      <c r="P386" s="90">
        <f t="shared" si="26"/>
        <v>75</v>
      </c>
      <c r="Q386" s="332"/>
      <c r="R386" s="726" t="s">
        <v>2301</v>
      </c>
      <c r="S386" s="288" t="s">
        <v>2034</v>
      </c>
      <c r="T386" s="27"/>
      <c r="U386" s="81"/>
      <c r="V386" s="738"/>
      <c r="W386" s="744"/>
      <c r="X386" s="60"/>
      <c r="Y386" s="60"/>
      <c r="Z386" s="83"/>
      <c r="AA386" s="62"/>
      <c r="AB386" s="142"/>
      <c r="AC386" s="117"/>
    </row>
    <row r="387" spans="1:29" s="168" customFormat="1" ht="21.75" customHeight="1">
      <c r="A387" s="359" t="s">
        <v>52</v>
      </c>
      <c r="B387" s="157"/>
      <c r="C387" s="158"/>
      <c r="D387" s="169" t="s">
        <v>1845</v>
      </c>
      <c r="E387" s="124" t="s">
        <v>1423</v>
      </c>
      <c r="F387" s="320" t="s">
        <v>2260</v>
      </c>
      <c r="G387" s="625"/>
      <c r="H387" s="626"/>
      <c r="I387" s="624"/>
      <c r="J387" s="506" t="s">
        <v>1424</v>
      </c>
      <c r="K387" s="125" t="s">
        <v>880</v>
      </c>
      <c r="L387" s="133" t="s">
        <v>1425</v>
      </c>
      <c r="M387" s="714">
        <v>9</v>
      </c>
      <c r="N387" s="127" t="s">
        <v>17</v>
      </c>
      <c r="O387" s="235"/>
      <c r="P387" s="90">
        <f t="shared" ref="P387" si="28">IF(O387="",M387,M387-O387)</f>
        <v>9</v>
      </c>
      <c r="Q387" s="283"/>
      <c r="R387" s="726"/>
      <c r="S387" s="383" t="s">
        <v>2261</v>
      </c>
      <c r="T387" s="159"/>
      <c r="U387" s="160"/>
      <c r="V387" s="512"/>
      <c r="W387" s="160"/>
      <c r="X387" s="163"/>
      <c r="Y387" s="163"/>
      <c r="Z387" s="164"/>
      <c r="AA387" s="165"/>
      <c r="AB387" s="166"/>
      <c r="AC387" s="167"/>
    </row>
    <row r="388" spans="1:29" ht="20.25" customHeight="1">
      <c r="A388" s="359" t="s">
        <v>28</v>
      </c>
      <c r="D388" s="169" t="s">
        <v>1845</v>
      </c>
      <c r="E388" s="124" t="s">
        <v>1535</v>
      </c>
      <c r="F388" s="321">
        <v>43663</v>
      </c>
      <c r="G388" s="625"/>
      <c r="H388" s="626"/>
      <c r="I388" s="624"/>
      <c r="J388" s="506" t="s">
        <v>1533</v>
      </c>
      <c r="K388" s="125" t="s">
        <v>1534</v>
      </c>
      <c r="L388" s="133" t="s">
        <v>1405</v>
      </c>
      <c r="M388" s="714">
        <v>1</v>
      </c>
      <c r="N388" s="171" t="s">
        <v>17</v>
      </c>
      <c r="O388" s="235"/>
      <c r="P388" s="90">
        <f t="shared" si="26"/>
        <v>1</v>
      </c>
      <c r="Q388" s="332"/>
      <c r="R388" s="726"/>
      <c r="S388" s="288" t="s">
        <v>168</v>
      </c>
      <c r="T388" s="27"/>
      <c r="U388" s="81"/>
      <c r="V388" s="82"/>
      <c r="W388" s="81"/>
      <c r="X388" s="60"/>
      <c r="Y388" s="60"/>
      <c r="Z388" s="83"/>
      <c r="AA388" s="62"/>
      <c r="AB388" s="142"/>
      <c r="AC388" s="117"/>
    </row>
    <row r="389" spans="1:29" ht="20.25" customHeight="1">
      <c r="A389" s="359" t="s">
        <v>28</v>
      </c>
      <c r="D389" s="169" t="s">
        <v>1845</v>
      </c>
      <c r="E389" s="124" t="s">
        <v>1605</v>
      </c>
      <c r="F389" s="321">
        <v>43663</v>
      </c>
      <c r="G389" s="625"/>
      <c r="H389" s="626"/>
      <c r="I389" s="624"/>
      <c r="J389" s="506" t="s">
        <v>1603</v>
      </c>
      <c r="K389" s="125" t="s">
        <v>1655</v>
      </c>
      <c r="L389" s="133"/>
      <c r="M389" s="714">
        <v>3</v>
      </c>
      <c r="N389" s="171" t="s">
        <v>17</v>
      </c>
      <c r="O389" s="235"/>
      <c r="P389" s="90">
        <f t="shared" si="26"/>
        <v>3</v>
      </c>
      <c r="Q389" s="332"/>
      <c r="R389" s="726"/>
      <c r="S389" s="288" t="s">
        <v>168</v>
      </c>
      <c r="T389" s="27"/>
      <c r="U389" s="81"/>
      <c r="V389" s="82"/>
      <c r="W389" s="81"/>
      <c r="X389" s="60"/>
      <c r="Y389" s="60"/>
      <c r="Z389" s="83"/>
      <c r="AA389" s="62"/>
      <c r="AB389" s="142"/>
      <c r="AC389" s="117"/>
    </row>
    <row r="390" spans="1:29" ht="20.25" customHeight="1">
      <c r="A390" s="377" t="s">
        <v>66</v>
      </c>
      <c r="D390" s="169" t="s">
        <v>1845</v>
      </c>
      <c r="E390" s="124" t="s">
        <v>1317</v>
      </c>
      <c r="F390" s="321" t="s">
        <v>1918</v>
      </c>
      <c r="G390" s="625"/>
      <c r="H390" s="626"/>
      <c r="I390" s="624"/>
      <c r="J390" s="506" t="s">
        <v>2119</v>
      </c>
      <c r="K390" s="125" t="s">
        <v>1030</v>
      </c>
      <c r="L390" s="133" t="s">
        <v>1318</v>
      </c>
      <c r="M390" s="714">
        <v>24</v>
      </c>
      <c r="N390" s="171" t="s">
        <v>17</v>
      </c>
      <c r="O390" s="235"/>
      <c r="P390" s="90">
        <f t="shared" si="26"/>
        <v>24</v>
      </c>
      <c r="Q390" s="332"/>
      <c r="R390" s="726"/>
      <c r="S390" s="288" t="s">
        <v>2120</v>
      </c>
      <c r="T390" s="27"/>
      <c r="U390" s="81"/>
      <c r="V390" s="82"/>
      <c r="W390" s="81"/>
      <c r="X390" s="60"/>
      <c r="Y390" s="60"/>
      <c r="Z390" s="83"/>
      <c r="AA390" s="62"/>
      <c r="AB390" s="142"/>
      <c r="AC390" s="117"/>
    </row>
    <row r="391" spans="1:29" s="168" customFormat="1" ht="21.75" customHeight="1">
      <c r="A391" s="359" t="s">
        <v>20</v>
      </c>
      <c r="B391" s="157"/>
      <c r="C391" s="158"/>
      <c r="D391" s="169" t="s">
        <v>1845</v>
      </c>
      <c r="E391" s="124" t="s">
        <v>886</v>
      </c>
      <c r="F391" s="320" t="s">
        <v>1988</v>
      </c>
      <c r="G391" s="625"/>
      <c r="H391" s="626"/>
      <c r="I391" s="624"/>
      <c r="J391" s="506" t="s">
        <v>1511</v>
      </c>
      <c r="K391" s="125" t="s">
        <v>626</v>
      </c>
      <c r="L391" s="133" t="s">
        <v>1346</v>
      </c>
      <c r="M391" s="714">
        <v>1</v>
      </c>
      <c r="N391" s="127" t="s">
        <v>17</v>
      </c>
      <c r="O391" s="235"/>
      <c r="P391" s="90">
        <f t="shared" si="26"/>
        <v>1</v>
      </c>
      <c r="Q391" s="283"/>
      <c r="R391" s="726"/>
      <c r="S391" s="383" t="s">
        <v>168</v>
      </c>
      <c r="T391" s="159"/>
      <c r="U391" s="160"/>
      <c r="V391" s="512"/>
      <c r="W391" s="160"/>
      <c r="X391" s="163"/>
      <c r="Y391" s="163"/>
      <c r="Z391" s="164"/>
      <c r="AA391" s="165"/>
      <c r="AB391" s="166"/>
      <c r="AC391" s="167"/>
    </row>
    <row r="392" spans="1:29" s="141" customFormat="1" ht="20.25" customHeight="1">
      <c r="A392" s="377" t="s">
        <v>20</v>
      </c>
      <c r="B392" s="186"/>
      <c r="C392" s="188"/>
      <c r="D392" s="169" t="s">
        <v>1845</v>
      </c>
      <c r="E392" s="124" t="s">
        <v>418</v>
      </c>
      <c r="F392" s="378" t="s">
        <v>1922</v>
      </c>
      <c r="G392" s="627"/>
      <c r="H392" s="631"/>
      <c r="I392" s="632"/>
      <c r="J392" s="517" t="s">
        <v>2110</v>
      </c>
      <c r="K392" s="125" t="s">
        <v>221</v>
      </c>
      <c r="L392" s="125" t="s">
        <v>11</v>
      </c>
      <c r="M392" s="710">
        <v>8</v>
      </c>
      <c r="N392" s="135" t="s">
        <v>17</v>
      </c>
      <c r="O392" s="235"/>
      <c r="P392" s="90">
        <f t="shared" si="26"/>
        <v>8</v>
      </c>
      <c r="Q392" s="382"/>
      <c r="R392" s="726"/>
      <c r="S392" s="383" t="s">
        <v>1846</v>
      </c>
      <c r="T392" s="27"/>
      <c r="U392" s="81"/>
      <c r="V392" s="82"/>
      <c r="W392" s="81"/>
      <c r="X392" s="63"/>
      <c r="Y392" s="139"/>
      <c r="Z392" s="131"/>
      <c r="AA392" s="140"/>
    </row>
    <row r="393" spans="1:29" s="168" customFormat="1" ht="21.75" customHeight="1">
      <c r="A393" s="359" t="s">
        <v>2074</v>
      </c>
      <c r="B393" s="157"/>
      <c r="C393" s="158"/>
      <c r="D393" s="169" t="s">
        <v>783</v>
      </c>
      <c r="E393" s="124" t="s">
        <v>1643</v>
      </c>
      <c r="F393" s="320">
        <v>43468</v>
      </c>
      <c r="G393" s="625"/>
      <c r="H393" s="626"/>
      <c r="I393" s="624"/>
      <c r="J393" s="506" t="s">
        <v>1647</v>
      </c>
      <c r="K393" s="125" t="s">
        <v>1651</v>
      </c>
      <c r="L393" s="133" t="s">
        <v>1659</v>
      </c>
      <c r="M393" s="714">
        <v>22</v>
      </c>
      <c r="N393" s="127" t="s">
        <v>1660</v>
      </c>
      <c r="O393" s="235"/>
      <c r="P393" s="90">
        <f t="shared" si="26"/>
        <v>22</v>
      </c>
      <c r="Q393" s="283" t="s">
        <v>1874</v>
      </c>
      <c r="R393" s="726"/>
      <c r="S393" s="383" t="s">
        <v>168</v>
      </c>
      <c r="T393" s="159"/>
      <c r="U393" s="160"/>
      <c r="V393" s="512"/>
      <c r="W393" s="160"/>
      <c r="X393" s="163"/>
      <c r="Y393" s="163"/>
      <c r="Z393" s="164"/>
      <c r="AA393" s="165"/>
      <c r="AB393" s="166"/>
      <c r="AC393" s="167"/>
    </row>
    <row r="394" spans="1:29" s="168" customFormat="1" ht="21.75" customHeight="1">
      <c r="A394" s="359" t="s">
        <v>66</v>
      </c>
      <c r="B394" s="157"/>
      <c r="C394" s="158"/>
      <c r="D394" s="249" t="s">
        <v>257</v>
      </c>
      <c r="E394" s="124" t="s">
        <v>2029</v>
      </c>
      <c r="F394" s="320">
        <v>43514</v>
      </c>
      <c r="G394" s="625"/>
      <c r="H394" s="626"/>
      <c r="I394" s="624" t="s">
        <v>2367</v>
      </c>
      <c r="J394" s="506" t="s">
        <v>2030</v>
      </c>
      <c r="K394" s="125" t="s">
        <v>375</v>
      </c>
      <c r="L394" s="133" t="s">
        <v>348</v>
      </c>
      <c r="M394" s="370">
        <v>43</v>
      </c>
      <c r="N394" s="127" t="s">
        <v>17</v>
      </c>
      <c r="O394" s="235"/>
      <c r="P394" s="90">
        <f>IF(O394="",M394,M394-O394)</f>
        <v>43</v>
      </c>
      <c r="Q394" s="283"/>
      <c r="R394" s="726"/>
      <c r="S394" s="383">
        <v>43819</v>
      </c>
      <c r="T394" s="159"/>
      <c r="U394" s="160"/>
      <c r="V394" s="512"/>
      <c r="W394" s="160"/>
      <c r="X394" s="163"/>
      <c r="Y394" s="163"/>
      <c r="Z394" s="164"/>
      <c r="AA394" s="165"/>
      <c r="AB394" s="166"/>
      <c r="AC394" s="167"/>
    </row>
    <row r="395" spans="1:29" s="168" customFormat="1" ht="21.75" customHeight="1">
      <c r="A395" s="359" t="s">
        <v>28</v>
      </c>
      <c r="B395" s="157"/>
      <c r="C395" s="158"/>
      <c r="D395" s="85" t="s">
        <v>257</v>
      </c>
      <c r="E395" s="536" t="s">
        <v>2172</v>
      </c>
      <c r="F395" s="601">
        <v>43641</v>
      </c>
      <c r="G395" s="625"/>
      <c r="H395" s="626"/>
      <c r="I395" s="624" t="s">
        <v>2353</v>
      </c>
      <c r="J395" s="610" t="s">
        <v>2171</v>
      </c>
      <c r="K395" s="541" t="s">
        <v>256</v>
      </c>
      <c r="L395" s="252" t="s">
        <v>83</v>
      </c>
      <c r="M395" s="764">
        <v>12</v>
      </c>
      <c r="N395" s="547" t="s">
        <v>17</v>
      </c>
      <c r="O395" s="537">
        <v>12</v>
      </c>
      <c r="P395" s="603">
        <f t="shared" si="26"/>
        <v>0</v>
      </c>
      <c r="Q395" s="283"/>
      <c r="R395" s="726"/>
      <c r="S395" s="383" t="s">
        <v>168</v>
      </c>
      <c r="T395" s="159"/>
      <c r="U395" s="160"/>
      <c r="V395" s="512"/>
      <c r="W395" s="160"/>
      <c r="X395" s="163"/>
      <c r="Y395" s="163"/>
      <c r="Z395" s="164"/>
      <c r="AA395" s="165"/>
      <c r="AB395" s="166"/>
      <c r="AC395" s="167"/>
    </row>
    <row r="396" spans="1:29" s="141" customFormat="1" ht="20.25" customHeight="1">
      <c r="A396" s="377" t="s">
        <v>66</v>
      </c>
      <c r="B396" s="186"/>
      <c r="C396" s="188"/>
      <c r="D396" s="85" t="s">
        <v>257</v>
      </c>
      <c r="E396" s="536" t="s">
        <v>1672</v>
      </c>
      <c r="F396" s="538" t="s">
        <v>2031</v>
      </c>
      <c r="G396" s="627"/>
      <c r="H396" s="631"/>
      <c r="I396" s="632"/>
      <c r="J396" s="756" t="s">
        <v>2168</v>
      </c>
      <c r="K396" s="541" t="s">
        <v>1674</v>
      </c>
      <c r="L396" s="541" t="s">
        <v>1675</v>
      </c>
      <c r="M396" s="768">
        <v>18</v>
      </c>
      <c r="N396" s="763" t="s">
        <v>17</v>
      </c>
      <c r="O396" s="537">
        <v>18</v>
      </c>
      <c r="P396" s="603">
        <f t="shared" ref="P396:P435" si="29">IF(O396="",M396,M396-O396)</f>
        <v>0</v>
      </c>
      <c r="Q396" s="382"/>
      <c r="R396" s="726" t="s">
        <v>2302</v>
      </c>
      <c r="S396" s="383" t="s">
        <v>168</v>
      </c>
      <c r="T396" s="27"/>
      <c r="U396" s="81"/>
      <c r="V396" s="82"/>
      <c r="W396" s="81"/>
      <c r="X396" s="63"/>
      <c r="Y396" s="139"/>
      <c r="Z396" s="131"/>
      <c r="AA396" s="140"/>
    </row>
    <row r="397" spans="1:29" s="141" customFormat="1" ht="20.25" customHeight="1">
      <c r="A397" s="377" t="s">
        <v>20</v>
      </c>
      <c r="B397" s="186"/>
      <c r="C397" s="188"/>
      <c r="D397" s="85" t="s">
        <v>257</v>
      </c>
      <c r="E397" s="536" t="s">
        <v>522</v>
      </c>
      <c r="F397" s="538" t="s">
        <v>1922</v>
      </c>
      <c r="G397" s="627"/>
      <c r="H397" s="631"/>
      <c r="I397" s="624" t="s">
        <v>2354</v>
      </c>
      <c r="J397" s="756" t="s">
        <v>2167</v>
      </c>
      <c r="K397" s="541" t="s">
        <v>1006</v>
      </c>
      <c r="L397" s="541" t="s">
        <v>523</v>
      </c>
      <c r="M397" s="768">
        <v>16</v>
      </c>
      <c r="N397" s="763" t="s">
        <v>17</v>
      </c>
      <c r="O397" s="537">
        <v>16</v>
      </c>
      <c r="P397" s="603">
        <f t="shared" si="29"/>
        <v>0</v>
      </c>
      <c r="Q397" s="382"/>
      <c r="R397" s="726"/>
      <c r="S397" s="383" t="s">
        <v>1846</v>
      </c>
      <c r="T397" s="27"/>
      <c r="U397" s="81"/>
      <c r="V397" s="82"/>
      <c r="W397" s="81"/>
      <c r="X397" s="63"/>
      <c r="Y397" s="139"/>
      <c r="Z397" s="131"/>
      <c r="AA397" s="140"/>
    </row>
    <row r="398" spans="1:29" s="141" customFormat="1" ht="20.25" customHeight="1">
      <c r="A398" s="377" t="s">
        <v>20</v>
      </c>
      <c r="B398" s="186"/>
      <c r="C398" s="188"/>
      <c r="D398" s="249" t="s">
        <v>188</v>
      </c>
      <c r="E398" s="124" t="s">
        <v>310</v>
      </c>
      <c r="F398" s="378">
        <v>43676</v>
      </c>
      <c r="G398" s="627"/>
      <c r="H398" s="631"/>
      <c r="I398" s="632"/>
      <c r="J398" s="517" t="s">
        <v>311</v>
      </c>
      <c r="K398" s="125" t="s">
        <v>312</v>
      </c>
      <c r="L398" s="125" t="s">
        <v>313</v>
      </c>
      <c r="M398" s="710">
        <v>10</v>
      </c>
      <c r="N398" s="135" t="s">
        <v>17</v>
      </c>
      <c r="O398" s="235"/>
      <c r="P398" s="90">
        <f t="shared" si="29"/>
        <v>10</v>
      </c>
      <c r="Q398" s="382"/>
      <c r="R398" s="726"/>
      <c r="S398" s="383">
        <v>44085</v>
      </c>
      <c r="T398" s="27"/>
      <c r="U398" s="81"/>
      <c r="V398" s="82"/>
      <c r="W398" s="81"/>
      <c r="X398" s="63"/>
      <c r="Y398" s="139"/>
      <c r="Z398" s="131"/>
      <c r="AA398" s="140"/>
    </row>
    <row r="399" spans="1:29" s="141" customFormat="1" ht="20.25" customHeight="1">
      <c r="A399" s="377" t="s">
        <v>20</v>
      </c>
      <c r="B399" s="186"/>
      <c r="C399" s="188"/>
      <c r="D399" s="249" t="s">
        <v>188</v>
      </c>
      <c r="E399" s="124" t="s">
        <v>2221</v>
      </c>
      <c r="F399" s="378">
        <v>43676</v>
      </c>
      <c r="G399" s="627"/>
      <c r="H399" s="631"/>
      <c r="I399" s="632"/>
      <c r="J399" s="517" t="s">
        <v>2222</v>
      </c>
      <c r="K399" s="125" t="s">
        <v>487</v>
      </c>
      <c r="L399" s="125" t="s">
        <v>324</v>
      </c>
      <c r="M399" s="710">
        <v>28</v>
      </c>
      <c r="N399" s="135" t="s">
        <v>17</v>
      </c>
      <c r="O399" s="235"/>
      <c r="P399" s="90">
        <f t="shared" si="29"/>
        <v>28</v>
      </c>
      <c r="Q399" s="382" t="s">
        <v>2223</v>
      </c>
      <c r="R399" s="726"/>
      <c r="S399" s="383" t="s">
        <v>168</v>
      </c>
      <c r="T399" s="27"/>
      <c r="U399" s="81"/>
      <c r="V399" s="82"/>
      <c r="W399" s="81"/>
      <c r="X399" s="63"/>
      <c r="Y399" s="139"/>
      <c r="Z399" s="131"/>
      <c r="AA399" s="140"/>
    </row>
    <row r="400" spans="1:29" ht="21.75" customHeight="1">
      <c r="A400" s="377" t="s">
        <v>28</v>
      </c>
      <c r="B400" s="186"/>
      <c r="C400" s="188"/>
      <c r="D400" s="169" t="s">
        <v>1014</v>
      </c>
      <c r="E400" s="124" t="s">
        <v>1380</v>
      </c>
      <c r="F400" s="319" t="s">
        <v>2046</v>
      </c>
      <c r="G400" s="627"/>
      <c r="H400" s="627"/>
      <c r="I400" s="628"/>
      <c r="J400" s="508" t="s">
        <v>530</v>
      </c>
      <c r="K400" s="379" t="s">
        <v>531</v>
      </c>
      <c r="L400" s="125" t="s">
        <v>1381</v>
      </c>
      <c r="M400" s="380">
        <v>32</v>
      </c>
      <c r="N400" s="236" t="s">
        <v>17</v>
      </c>
      <c r="O400" s="235">
        <v>3</v>
      </c>
      <c r="P400" s="90">
        <f t="shared" si="29"/>
        <v>29</v>
      </c>
      <c r="Q400" s="382"/>
      <c r="R400" s="752" t="s">
        <v>2314</v>
      </c>
      <c r="S400" s="383" t="s">
        <v>168</v>
      </c>
      <c r="T400" s="27"/>
      <c r="U400" s="81"/>
      <c r="V400" s="82"/>
      <c r="W400" s="81"/>
      <c r="X400" s="63"/>
      <c r="Y400" s="139"/>
      <c r="Z400" s="131"/>
      <c r="AA400" s="140"/>
      <c r="AB400" s="141"/>
      <c r="AC400" s="141"/>
    </row>
    <row r="401" spans="1:29" s="168" customFormat="1" ht="18.75" customHeight="1">
      <c r="A401" s="359" t="s">
        <v>20</v>
      </c>
      <c r="B401" s="157"/>
      <c r="C401" s="158"/>
      <c r="D401" s="169" t="s">
        <v>1014</v>
      </c>
      <c r="E401" s="124" t="s">
        <v>566</v>
      </c>
      <c r="F401" s="320">
        <v>43446</v>
      </c>
      <c r="G401" s="625"/>
      <c r="H401" s="626"/>
      <c r="I401" s="628"/>
      <c r="J401" s="506" t="s">
        <v>423</v>
      </c>
      <c r="K401" s="125" t="s">
        <v>902</v>
      </c>
      <c r="L401" s="133" t="s">
        <v>1463</v>
      </c>
      <c r="M401" s="370">
        <v>1</v>
      </c>
      <c r="N401" s="127" t="s">
        <v>17</v>
      </c>
      <c r="O401" s="235"/>
      <c r="P401" s="90">
        <f t="shared" si="29"/>
        <v>1</v>
      </c>
      <c r="Q401" s="283" t="s">
        <v>2160</v>
      </c>
      <c r="R401" s="726"/>
      <c r="S401" s="277" t="s">
        <v>168</v>
      </c>
      <c r="T401" s="159"/>
      <c r="U401" s="160"/>
      <c r="V401" s="512"/>
      <c r="W401" s="160"/>
      <c r="X401" s="163"/>
      <c r="Y401" s="163"/>
      <c r="Z401" s="164"/>
      <c r="AA401" s="165"/>
      <c r="AB401" s="166"/>
      <c r="AC401" s="167"/>
    </row>
    <row r="402" spans="1:29" ht="19.5" customHeight="1">
      <c r="A402" s="359" t="s">
        <v>20</v>
      </c>
      <c r="D402" s="169" t="s">
        <v>142</v>
      </c>
      <c r="E402" s="124" t="s">
        <v>39</v>
      </c>
      <c r="F402" s="320">
        <v>40932</v>
      </c>
      <c r="G402" s="627"/>
      <c r="H402" s="631"/>
      <c r="I402" s="624"/>
      <c r="J402" s="506" t="s">
        <v>769</v>
      </c>
      <c r="K402" s="125" t="s">
        <v>37</v>
      </c>
      <c r="L402" s="133" t="s">
        <v>1214</v>
      </c>
      <c r="M402" s="369">
        <v>8</v>
      </c>
      <c r="N402" s="259" t="s">
        <v>1134</v>
      </c>
      <c r="O402" s="235"/>
      <c r="P402" s="90">
        <f t="shared" si="29"/>
        <v>8</v>
      </c>
      <c r="Q402" s="271" t="s">
        <v>1158</v>
      </c>
      <c r="R402" s="726"/>
      <c r="S402" s="288" t="s">
        <v>168</v>
      </c>
      <c r="T402" s="27"/>
      <c r="U402" s="8"/>
      <c r="V402" s="121"/>
      <c r="W402" s="8"/>
      <c r="X402" s="63"/>
      <c r="Y402" s="63"/>
      <c r="Z402" s="64"/>
      <c r="AA402" s="65"/>
      <c r="AB402"/>
      <c r="AC402"/>
    </row>
    <row r="403" spans="1:29" ht="19.5" customHeight="1">
      <c r="A403" s="359" t="s">
        <v>20</v>
      </c>
      <c r="D403" s="169" t="s">
        <v>142</v>
      </c>
      <c r="E403" s="124" t="s">
        <v>39</v>
      </c>
      <c r="F403" s="320">
        <v>40932</v>
      </c>
      <c r="G403" s="627"/>
      <c r="H403" s="631"/>
      <c r="I403" s="624" t="s">
        <v>2464</v>
      </c>
      <c r="J403" s="506" t="s">
        <v>770</v>
      </c>
      <c r="K403" s="125" t="s">
        <v>37</v>
      </c>
      <c r="L403" s="133" t="s">
        <v>1214</v>
      </c>
      <c r="M403" s="369">
        <v>18</v>
      </c>
      <c r="N403" s="259" t="s">
        <v>1134</v>
      </c>
      <c r="O403" s="235">
        <v>18</v>
      </c>
      <c r="P403" s="90">
        <f t="shared" si="29"/>
        <v>0</v>
      </c>
      <c r="Q403" s="271" t="s">
        <v>1159</v>
      </c>
      <c r="R403" s="726" t="s">
        <v>2465</v>
      </c>
      <c r="S403" s="288" t="s">
        <v>168</v>
      </c>
      <c r="T403" s="27"/>
      <c r="U403" s="8"/>
      <c r="V403" s="121"/>
      <c r="W403" s="8"/>
      <c r="X403" s="63"/>
      <c r="Y403" s="63"/>
      <c r="Z403" s="64"/>
      <c r="AA403" s="65"/>
      <c r="AB403"/>
      <c r="AC403"/>
    </row>
    <row r="404" spans="1:29" ht="19.5" customHeight="1">
      <c r="A404" s="359" t="s">
        <v>20</v>
      </c>
      <c r="D404" s="123" t="s">
        <v>142</v>
      </c>
      <c r="E404" s="124" t="s">
        <v>725</v>
      </c>
      <c r="F404" s="321">
        <v>42923</v>
      </c>
      <c r="G404" s="625"/>
      <c r="H404" s="626"/>
      <c r="I404" s="624"/>
      <c r="J404" s="506" t="s">
        <v>726</v>
      </c>
      <c r="K404" s="125" t="s">
        <v>727</v>
      </c>
      <c r="L404" s="133" t="s">
        <v>1197</v>
      </c>
      <c r="M404" s="370">
        <v>3</v>
      </c>
      <c r="N404" s="150" t="s">
        <v>17</v>
      </c>
      <c r="O404" s="235"/>
      <c r="P404" s="90">
        <f t="shared" si="29"/>
        <v>3</v>
      </c>
      <c r="Q404" s="272"/>
      <c r="R404" s="726"/>
      <c r="S404" s="288" t="s">
        <v>168</v>
      </c>
      <c r="T404" s="72"/>
      <c r="U404" s="81"/>
      <c r="V404" s="738"/>
      <c r="W404" s="744"/>
      <c r="X404" s="60"/>
      <c r="Y404" s="60"/>
      <c r="Z404" s="83"/>
      <c r="AA404" s="62"/>
      <c r="AB404" s="142"/>
      <c r="AC404" s="117"/>
    </row>
    <row r="405" spans="1:29" ht="19.5" customHeight="1">
      <c r="A405" s="359" t="s">
        <v>20</v>
      </c>
      <c r="D405" s="123" t="s">
        <v>142</v>
      </c>
      <c r="E405" s="124" t="s">
        <v>728</v>
      </c>
      <c r="F405" s="321">
        <v>42923</v>
      </c>
      <c r="G405" s="625"/>
      <c r="H405" s="626"/>
      <c r="I405" s="624"/>
      <c r="J405" s="506" t="s">
        <v>729</v>
      </c>
      <c r="K405" s="125" t="s">
        <v>730</v>
      </c>
      <c r="L405" s="133" t="s">
        <v>1198</v>
      </c>
      <c r="M405" s="370">
        <v>1.5</v>
      </c>
      <c r="N405" s="150" t="s">
        <v>17</v>
      </c>
      <c r="O405" s="235"/>
      <c r="P405" s="90">
        <f t="shared" si="29"/>
        <v>1.5</v>
      </c>
      <c r="Q405" s="272" t="s">
        <v>1256</v>
      </c>
      <c r="R405" s="726"/>
      <c r="S405" s="288" t="s">
        <v>168</v>
      </c>
      <c r="T405" s="72"/>
      <c r="U405" s="81"/>
      <c r="V405" s="738"/>
      <c r="W405" s="744"/>
      <c r="X405" s="60" t="s">
        <v>1199</v>
      </c>
      <c r="Y405" s="60"/>
      <c r="Z405" s="83"/>
      <c r="AA405" s="62"/>
      <c r="AB405" s="142"/>
      <c r="AC405" s="117"/>
    </row>
    <row r="406" spans="1:29" ht="19.5" customHeight="1">
      <c r="A406" s="377" t="s">
        <v>20</v>
      </c>
      <c r="D406" s="123" t="s">
        <v>138</v>
      </c>
      <c r="E406" s="124" t="s">
        <v>2231</v>
      </c>
      <c r="F406" s="321">
        <v>43676</v>
      </c>
      <c r="G406" s="625"/>
      <c r="H406" s="626"/>
      <c r="I406" s="624"/>
      <c r="J406" s="506" t="s">
        <v>2232</v>
      </c>
      <c r="K406" s="125" t="s">
        <v>2233</v>
      </c>
      <c r="L406" s="133" t="s">
        <v>2234</v>
      </c>
      <c r="M406" s="370">
        <v>2</v>
      </c>
      <c r="N406" s="150" t="s">
        <v>17</v>
      </c>
      <c r="O406" s="235">
        <v>1</v>
      </c>
      <c r="P406" s="90">
        <f t="shared" si="29"/>
        <v>1</v>
      </c>
      <c r="Q406" s="272" t="s">
        <v>2230</v>
      </c>
      <c r="R406" s="726" t="s">
        <v>777</v>
      </c>
      <c r="S406" s="288">
        <v>43891</v>
      </c>
      <c r="T406" s="72"/>
      <c r="U406" s="81"/>
      <c r="V406" s="738"/>
      <c r="W406" s="744"/>
      <c r="X406" s="60"/>
      <c r="Y406" s="60"/>
      <c r="Z406" s="83"/>
      <c r="AA406" s="62"/>
      <c r="AB406" s="142"/>
      <c r="AC406" s="117"/>
    </row>
    <row r="407" spans="1:29" ht="19.5" customHeight="1">
      <c r="A407" s="377" t="s">
        <v>66</v>
      </c>
      <c r="D407" s="123" t="s">
        <v>138</v>
      </c>
      <c r="E407" s="124" t="s">
        <v>896</v>
      </c>
      <c r="F407" s="321">
        <v>43560</v>
      </c>
      <c r="G407" s="625"/>
      <c r="H407" s="626"/>
      <c r="I407" s="624"/>
      <c r="J407" s="506" t="s">
        <v>1830</v>
      </c>
      <c r="K407" s="125" t="s">
        <v>995</v>
      </c>
      <c r="L407" s="133" t="s">
        <v>8</v>
      </c>
      <c r="M407" s="370">
        <v>59</v>
      </c>
      <c r="N407" s="150" t="s">
        <v>17</v>
      </c>
      <c r="O407" s="235">
        <v>5</v>
      </c>
      <c r="P407" s="90">
        <f t="shared" si="29"/>
        <v>54</v>
      </c>
      <c r="Q407" s="272"/>
      <c r="R407" s="752" t="s">
        <v>963</v>
      </c>
      <c r="S407" s="288">
        <v>43712</v>
      </c>
      <c r="T407" s="72"/>
      <c r="U407" s="81"/>
      <c r="V407" s="738"/>
      <c r="W407" s="744"/>
      <c r="X407" s="60"/>
      <c r="Y407" s="60"/>
      <c r="Z407" s="83"/>
      <c r="AA407" s="62"/>
      <c r="AB407" s="142"/>
      <c r="AC407" s="117"/>
    </row>
    <row r="408" spans="1:29" ht="20.25" customHeight="1">
      <c r="A408" s="377" t="s">
        <v>20</v>
      </c>
      <c r="B408" s="186"/>
      <c r="C408" s="188"/>
      <c r="D408" s="261" t="s">
        <v>723</v>
      </c>
      <c r="E408" s="262"/>
      <c r="F408" s="355"/>
      <c r="G408" s="625"/>
      <c r="H408" s="626"/>
      <c r="I408" s="624"/>
      <c r="J408" s="516" t="s">
        <v>1211</v>
      </c>
      <c r="K408" s="258" t="s">
        <v>546</v>
      </c>
      <c r="L408" s="354" t="s">
        <v>1212</v>
      </c>
      <c r="M408" s="372">
        <v>1</v>
      </c>
      <c r="N408" s="357" t="s">
        <v>268</v>
      </c>
      <c r="O408" s="235"/>
      <c r="P408" s="90">
        <f t="shared" si="29"/>
        <v>1</v>
      </c>
      <c r="Q408" s="356"/>
      <c r="R408" s="726"/>
      <c r="S408" s="337" t="s">
        <v>168</v>
      </c>
      <c r="T408" s="54"/>
      <c r="U408" s="73"/>
      <c r="V408" s="74"/>
      <c r="W408" s="73"/>
      <c r="X408" s="66"/>
      <c r="Y408" s="66"/>
      <c r="Z408" s="67"/>
      <c r="AA408" s="68"/>
      <c r="AB408" s="142"/>
      <c r="AC408" s="117"/>
    </row>
    <row r="409" spans="1:29" ht="19.5" customHeight="1">
      <c r="A409" s="359" t="s">
        <v>52</v>
      </c>
      <c r="D409" s="169" t="s">
        <v>502</v>
      </c>
      <c r="E409" s="181" t="s">
        <v>1798</v>
      </c>
      <c r="F409" s="319">
        <v>43255</v>
      </c>
      <c r="G409" s="629"/>
      <c r="H409" s="630"/>
      <c r="I409" s="624"/>
      <c r="J409" s="517" t="s">
        <v>2028</v>
      </c>
      <c r="K409" s="133" t="s">
        <v>1799</v>
      </c>
      <c r="L409" s="133" t="s">
        <v>1800</v>
      </c>
      <c r="M409" s="369">
        <v>70</v>
      </c>
      <c r="N409" s="236" t="s">
        <v>17</v>
      </c>
      <c r="O409" s="235"/>
      <c r="P409" s="90">
        <f t="shared" si="29"/>
        <v>70</v>
      </c>
      <c r="Q409" s="386" t="s">
        <v>1530</v>
      </c>
      <c r="R409" s="726"/>
      <c r="S409" s="383" t="s">
        <v>168</v>
      </c>
      <c r="V409" s="737"/>
      <c r="W409" s="737"/>
      <c r="X409" s="256"/>
      <c r="Y409" s="63"/>
      <c r="Z409" s="257"/>
      <c r="AA409" s="65"/>
      <c r="AB409"/>
      <c r="AC409"/>
    </row>
    <row r="410" spans="1:29" s="168" customFormat="1" ht="21.75" customHeight="1">
      <c r="A410" s="359" t="s">
        <v>52</v>
      </c>
      <c r="B410" s="157"/>
      <c r="C410" s="158"/>
      <c r="D410" s="169" t="s">
        <v>768</v>
      </c>
      <c r="E410" s="124" t="s">
        <v>197</v>
      </c>
      <c r="F410" s="320" t="s">
        <v>1742</v>
      </c>
      <c r="G410" s="625"/>
      <c r="H410" s="626"/>
      <c r="I410" s="624"/>
      <c r="J410" s="506" t="s">
        <v>2194</v>
      </c>
      <c r="K410" s="125" t="s">
        <v>1671</v>
      </c>
      <c r="L410" s="133" t="s">
        <v>1364</v>
      </c>
      <c r="M410" s="714">
        <v>12</v>
      </c>
      <c r="N410" s="127" t="s">
        <v>17</v>
      </c>
      <c r="O410" s="235">
        <v>1</v>
      </c>
      <c r="P410" s="90">
        <f t="shared" si="29"/>
        <v>11</v>
      </c>
      <c r="Q410" s="283"/>
      <c r="R410" s="752" t="s">
        <v>777</v>
      </c>
      <c r="S410" s="383">
        <v>43838</v>
      </c>
      <c r="T410" s="159"/>
      <c r="U410" s="160"/>
      <c r="V410" s="512"/>
      <c r="W410" s="160"/>
      <c r="X410" s="163"/>
      <c r="Y410" s="163"/>
      <c r="Z410" s="164"/>
      <c r="AA410" s="165"/>
      <c r="AB410" s="166"/>
      <c r="AC410" s="167"/>
    </row>
    <row r="411" spans="1:29" s="168" customFormat="1" ht="21.75" customHeight="1">
      <c r="A411" s="359" t="s">
        <v>28</v>
      </c>
      <c r="B411" s="157"/>
      <c r="C411" s="158"/>
      <c r="D411" s="169" t="s">
        <v>565</v>
      </c>
      <c r="E411" s="124" t="s">
        <v>1926</v>
      </c>
      <c r="F411" s="320">
        <v>43690</v>
      </c>
      <c r="G411" s="625"/>
      <c r="H411" s="626"/>
      <c r="I411" s="624"/>
      <c r="J411" s="506" t="s">
        <v>1927</v>
      </c>
      <c r="K411" s="125" t="s">
        <v>216</v>
      </c>
      <c r="L411" s="133" t="s">
        <v>212</v>
      </c>
      <c r="M411" s="714">
        <v>8</v>
      </c>
      <c r="N411" s="127" t="s">
        <v>17</v>
      </c>
      <c r="O411" s="235"/>
      <c r="P411" s="90">
        <f t="shared" si="29"/>
        <v>8</v>
      </c>
      <c r="Q411" s="283" t="s">
        <v>2371</v>
      </c>
      <c r="R411" s="726"/>
      <c r="S411" s="383" t="s">
        <v>168</v>
      </c>
      <c r="T411" s="159"/>
      <c r="U411" s="160"/>
      <c r="V411" s="512"/>
      <c r="W411" s="160"/>
      <c r="X411" s="163"/>
      <c r="Y411" s="163"/>
      <c r="Z411" s="164"/>
      <c r="AA411" s="165"/>
      <c r="AB411" s="166"/>
      <c r="AC411" s="167"/>
    </row>
    <row r="412" spans="1:29" s="168" customFormat="1" ht="21.75" customHeight="1">
      <c r="A412" s="359" t="s">
        <v>28</v>
      </c>
      <c r="B412" s="157"/>
      <c r="C412" s="158"/>
      <c r="D412" s="169" t="s">
        <v>565</v>
      </c>
      <c r="E412" s="124" t="s">
        <v>2170</v>
      </c>
      <c r="F412" s="320">
        <v>43689</v>
      </c>
      <c r="G412" s="625"/>
      <c r="H412" s="626"/>
      <c r="I412" s="624"/>
      <c r="J412" s="506" t="s">
        <v>2169</v>
      </c>
      <c r="K412" s="125" t="s">
        <v>337</v>
      </c>
      <c r="L412" s="133" t="s">
        <v>212</v>
      </c>
      <c r="M412" s="714">
        <v>2</v>
      </c>
      <c r="N412" s="127" t="s">
        <v>17</v>
      </c>
      <c r="O412" s="235"/>
      <c r="P412" s="90">
        <f t="shared" ref="P412:P415" si="30">IF(O412="",M412,M412-O412)</f>
        <v>2</v>
      </c>
      <c r="Q412" s="283" t="s">
        <v>2371</v>
      </c>
      <c r="R412" s="726"/>
      <c r="S412" s="383">
        <v>43838</v>
      </c>
      <c r="T412" s="159"/>
      <c r="U412" s="160"/>
      <c r="V412" s="512"/>
      <c r="W412" s="160"/>
      <c r="X412" s="163"/>
      <c r="Y412" s="163"/>
      <c r="Z412" s="164"/>
      <c r="AA412" s="165"/>
      <c r="AB412" s="166"/>
      <c r="AC412" s="167"/>
    </row>
    <row r="413" spans="1:29" s="168" customFormat="1" ht="21.75" customHeight="1">
      <c r="A413" s="359" t="s">
        <v>28</v>
      </c>
      <c r="B413" s="157"/>
      <c r="C413" s="158"/>
      <c r="D413" s="169" t="s">
        <v>565</v>
      </c>
      <c r="E413" s="124" t="s">
        <v>1895</v>
      </c>
      <c r="F413" s="320">
        <v>43689</v>
      </c>
      <c r="G413" s="625"/>
      <c r="H413" s="626"/>
      <c r="I413" s="624"/>
      <c r="J413" s="506" t="s">
        <v>1894</v>
      </c>
      <c r="K413" s="125" t="s">
        <v>944</v>
      </c>
      <c r="L413" s="133" t="s">
        <v>212</v>
      </c>
      <c r="M413" s="714">
        <v>4</v>
      </c>
      <c r="N413" s="127" t="s">
        <v>17</v>
      </c>
      <c r="O413" s="235"/>
      <c r="P413" s="90">
        <f t="shared" si="30"/>
        <v>4</v>
      </c>
      <c r="Q413" s="283" t="s">
        <v>2371</v>
      </c>
      <c r="R413" s="726"/>
      <c r="S413" s="383">
        <v>43838</v>
      </c>
      <c r="T413" s="159"/>
      <c r="U413" s="160"/>
      <c r="V413" s="512"/>
      <c r="W413" s="160"/>
      <c r="X413" s="163"/>
      <c r="Y413" s="163"/>
      <c r="Z413" s="164"/>
      <c r="AA413" s="165"/>
      <c r="AB413" s="166"/>
      <c r="AC413" s="167"/>
    </row>
    <row r="414" spans="1:29" s="168" customFormat="1" ht="21.75" customHeight="1">
      <c r="A414" s="359" t="s">
        <v>28</v>
      </c>
      <c r="B414" s="157"/>
      <c r="C414" s="158"/>
      <c r="D414" s="169" t="s">
        <v>565</v>
      </c>
      <c r="E414" s="124" t="s">
        <v>1789</v>
      </c>
      <c r="F414" s="320">
        <v>43689</v>
      </c>
      <c r="G414" s="625"/>
      <c r="H414" s="626"/>
      <c r="I414" s="624"/>
      <c r="J414" s="506" t="s">
        <v>392</v>
      </c>
      <c r="K414" s="125" t="s">
        <v>217</v>
      </c>
      <c r="L414" s="133" t="s">
        <v>383</v>
      </c>
      <c r="M414" s="714">
        <v>4</v>
      </c>
      <c r="N414" s="127" t="s">
        <v>17</v>
      </c>
      <c r="O414" s="235"/>
      <c r="P414" s="90">
        <f t="shared" si="30"/>
        <v>4</v>
      </c>
      <c r="Q414" s="283" t="s">
        <v>2371</v>
      </c>
      <c r="R414" s="726"/>
      <c r="S414" s="383">
        <v>43838</v>
      </c>
      <c r="T414" s="159"/>
      <c r="U414" s="160"/>
      <c r="V414" s="512"/>
      <c r="W414" s="160"/>
      <c r="X414" s="163"/>
      <c r="Y414" s="163"/>
      <c r="Z414" s="164"/>
      <c r="AA414" s="165"/>
      <c r="AB414" s="166"/>
      <c r="AC414" s="167"/>
    </row>
    <row r="415" spans="1:29" s="168" customFormat="1" ht="21.75" customHeight="1">
      <c r="A415" s="359" t="s">
        <v>28</v>
      </c>
      <c r="B415" s="157"/>
      <c r="C415" s="158"/>
      <c r="D415" s="169" t="s">
        <v>565</v>
      </c>
      <c r="E415" s="124" t="s">
        <v>949</v>
      </c>
      <c r="F415" s="320">
        <v>43689</v>
      </c>
      <c r="G415" s="625"/>
      <c r="H415" s="626"/>
      <c r="I415" s="624"/>
      <c r="J415" s="506" t="s">
        <v>260</v>
      </c>
      <c r="K415" s="125" t="s">
        <v>261</v>
      </c>
      <c r="L415" s="133" t="s">
        <v>212</v>
      </c>
      <c r="M415" s="714">
        <v>16</v>
      </c>
      <c r="N415" s="127" t="s">
        <v>17</v>
      </c>
      <c r="O415" s="235"/>
      <c r="P415" s="90">
        <f t="shared" si="30"/>
        <v>16</v>
      </c>
      <c r="Q415" s="283" t="s">
        <v>2371</v>
      </c>
      <c r="R415" s="726"/>
      <c r="S415" s="383">
        <v>43838</v>
      </c>
      <c r="T415" s="159"/>
      <c r="U415" s="160"/>
      <c r="V415" s="512"/>
      <c r="W415" s="160"/>
      <c r="X415" s="163"/>
      <c r="Y415" s="163"/>
      <c r="Z415" s="164"/>
      <c r="AA415" s="165"/>
      <c r="AB415" s="166"/>
      <c r="AC415" s="167"/>
    </row>
    <row r="416" spans="1:29" ht="20.25" customHeight="1">
      <c r="A416" s="377" t="s">
        <v>20</v>
      </c>
      <c r="B416" s="186"/>
      <c r="C416" s="188"/>
      <c r="D416" s="261" t="s">
        <v>1906</v>
      </c>
      <c r="E416" s="262"/>
      <c r="F416" s="355"/>
      <c r="G416" s="625"/>
      <c r="H416" s="626"/>
      <c r="I416" s="624"/>
      <c r="J416" s="516" t="s">
        <v>1211</v>
      </c>
      <c r="K416" s="258" t="s">
        <v>546</v>
      </c>
      <c r="L416" s="354" t="s">
        <v>1212</v>
      </c>
      <c r="M416" s="372">
        <v>1</v>
      </c>
      <c r="N416" s="357" t="s">
        <v>268</v>
      </c>
      <c r="O416" s="235"/>
      <c r="P416" s="90">
        <f t="shared" si="29"/>
        <v>1</v>
      </c>
      <c r="Q416" s="356"/>
      <c r="R416" s="726"/>
      <c r="S416" s="337" t="s">
        <v>168</v>
      </c>
      <c r="T416" s="54"/>
      <c r="U416" s="73"/>
      <c r="V416" s="74"/>
      <c r="W416" s="73"/>
      <c r="X416" s="66"/>
      <c r="Y416" s="66"/>
      <c r="Z416" s="67"/>
      <c r="AA416" s="68"/>
      <c r="AB416" s="142"/>
      <c r="AC416" s="117"/>
    </row>
    <row r="417" spans="1:29" ht="20.25" customHeight="1">
      <c r="A417" s="377" t="s">
        <v>20</v>
      </c>
      <c r="B417" s="186"/>
      <c r="C417" s="188"/>
      <c r="D417" s="261" t="s">
        <v>489</v>
      </c>
      <c r="E417" s="262"/>
      <c r="F417" s="355"/>
      <c r="G417" s="625"/>
      <c r="H417" s="626"/>
      <c r="I417" s="624"/>
      <c r="J417" s="516" t="s">
        <v>1211</v>
      </c>
      <c r="K417" s="258" t="s">
        <v>546</v>
      </c>
      <c r="L417" s="354" t="s">
        <v>1212</v>
      </c>
      <c r="M417" s="372">
        <v>1</v>
      </c>
      <c r="N417" s="357" t="s">
        <v>268</v>
      </c>
      <c r="O417" s="235"/>
      <c r="P417" s="90">
        <f t="shared" si="29"/>
        <v>1</v>
      </c>
      <c r="Q417" s="356"/>
      <c r="R417" s="726"/>
      <c r="S417" s="337" t="s">
        <v>168</v>
      </c>
      <c r="T417" s="54"/>
      <c r="U417" s="73"/>
      <c r="V417" s="74"/>
      <c r="W417" s="73"/>
      <c r="X417" s="66"/>
      <c r="Y417" s="66"/>
      <c r="Z417" s="67"/>
      <c r="AA417" s="68"/>
      <c r="AB417" s="142"/>
      <c r="AC417" s="117"/>
    </row>
    <row r="418" spans="1:29" s="168" customFormat="1" ht="19.5" customHeight="1">
      <c r="A418" s="359" t="s">
        <v>28</v>
      </c>
      <c r="B418" s="157"/>
      <c r="C418" s="158"/>
      <c r="D418" s="123" t="s">
        <v>488</v>
      </c>
      <c r="E418" s="124" t="s">
        <v>1822</v>
      </c>
      <c r="F418" s="320">
        <v>43690</v>
      </c>
      <c r="G418" s="625"/>
      <c r="H418" s="626"/>
      <c r="I418" s="624"/>
      <c r="J418" s="506" t="s">
        <v>1823</v>
      </c>
      <c r="K418" s="125" t="s">
        <v>1824</v>
      </c>
      <c r="L418" s="133" t="s">
        <v>86</v>
      </c>
      <c r="M418" s="370">
        <v>2</v>
      </c>
      <c r="N418" s="127" t="s">
        <v>17</v>
      </c>
      <c r="O418" s="235"/>
      <c r="P418" s="90">
        <f t="shared" ref="P418:P419" si="31">IF(O418="",M418,M418-O418)</f>
        <v>2</v>
      </c>
      <c r="Q418" s="283"/>
      <c r="R418" s="726"/>
      <c r="S418" s="277" t="s">
        <v>168</v>
      </c>
      <c r="T418" s="159"/>
      <c r="U418" s="160"/>
      <c r="V418" s="664"/>
      <c r="W418" s="160"/>
      <c r="X418" s="163"/>
      <c r="Y418" s="163"/>
      <c r="Z418" s="164"/>
      <c r="AA418" s="165"/>
      <c r="AB418" s="166"/>
      <c r="AC418" s="167"/>
    </row>
    <row r="419" spans="1:29" s="168" customFormat="1" ht="19.5" customHeight="1">
      <c r="A419" s="359" t="s">
        <v>28</v>
      </c>
      <c r="B419" s="157"/>
      <c r="C419" s="158"/>
      <c r="D419" s="123" t="s">
        <v>488</v>
      </c>
      <c r="E419" s="124" t="s">
        <v>2370</v>
      </c>
      <c r="F419" s="320">
        <v>43690</v>
      </c>
      <c r="G419" s="625"/>
      <c r="H419" s="626"/>
      <c r="I419" s="624"/>
      <c r="J419" s="506" t="s">
        <v>2368</v>
      </c>
      <c r="K419" s="125" t="s">
        <v>2369</v>
      </c>
      <c r="L419" s="133" t="s">
        <v>1405</v>
      </c>
      <c r="M419" s="370">
        <v>1</v>
      </c>
      <c r="N419" s="127" t="s">
        <v>17</v>
      </c>
      <c r="O419" s="235"/>
      <c r="P419" s="90">
        <f t="shared" si="31"/>
        <v>1</v>
      </c>
      <c r="Q419" s="283"/>
      <c r="R419" s="726"/>
      <c r="S419" s="277" t="s">
        <v>168</v>
      </c>
      <c r="T419" s="159"/>
      <c r="U419" s="160"/>
      <c r="V419" s="664"/>
      <c r="W419" s="160"/>
      <c r="X419" s="163"/>
      <c r="Y419" s="163"/>
      <c r="Z419" s="164"/>
      <c r="AA419" s="165"/>
      <c r="AB419" s="166"/>
      <c r="AC419" s="167"/>
    </row>
    <row r="420" spans="1:29" s="168" customFormat="1" ht="19.5" customHeight="1">
      <c r="A420" s="359" t="s">
        <v>28</v>
      </c>
      <c r="B420" s="157"/>
      <c r="C420" s="158"/>
      <c r="D420" s="123" t="s">
        <v>488</v>
      </c>
      <c r="E420" s="124" t="s">
        <v>1773</v>
      </c>
      <c r="F420" s="320" t="s">
        <v>1776</v>
      </c>
      <c r="G420" s="625"/>
      <c r="H420" s="626"/>
      <c r="I420" s="624"/>
      <c r="J420" s="506" t="s">
        <v>1774</v>
      </c>
      <c r="K420" s="125" t="s">
        <v>1397</v>
      </c>
      <c r="L420" s="133" t="s">
        <v>1775</v>
      </c>
      <c r="M420" s="370">
        <v>4</v>
      </c>
      <c r="N420" s="127" t="s">
        <v>17</v>
      </c>
      <c r="O420" s="235">
        <v>2</v>
      </c>
      <c r="P420" s="90">
        <f t="shared" si="29"/>
        <v>2</v>
      </c>
      <c r="Q420" s="283"/>
      <c r="R420" s="726" t="s">
        <v>2284</v>
      </c>
      <c r="S420" s="277" t="s">
        <v>168</v>
      </c>
      <c r="T420" s="159"/>
      <c r="U420" s="160"/>
      <c r="V420" s="664"/>
      <c r="W420" s="160"/>
      <c r="X420" s="163"/>
      <c r="Y420" s="163"/>
      <c r="Z420" s="164"/>
      <c r="AA420" s="165"/>
      <c r="AB420" s="166"/>
      <c r="AC420" s="167"/>
    </row>
    <row r="421" spans="1:29" s="168" customFormat="1" ht="21.75" customHeight="1">
      <c r="A421" s="359" t="s">
        <v>20</v>
      </c>
      <c r="B421" s="157"/>
      <c r="C421" s="158"/>
      <c r="D421" s="123" t="s">
        <v>488</v>
      </c>
      <c r="E421" s="124" t="s">
        <v>1273</v>
      </c>
      <c r="F421" s="320">
        <v>43676</v>
      </c>
      <c r="G421" s="625"/>
      <c r="H421" s="626"/>
      <c r="I421" s="624"/>
      <c r="J421" s="506" t="s">
        <v>2203</v>
      </c>
      <c r="K421" s="125" t="s">
        <v>2204</v>
      </c>
      <c r="L421" s="133" t="s">
        <v>6</v>
      </c>
      <c r="M421" s="714">
        <v>2</v>
      </c>
      <c r="N421" s="127" t="s">
        <v>17</v>
      </c>
      <c r="O421" s="235"/>
      <c r="P421" s="90">
        <f t="shared" si="29"/>
        <v>2</v>
      </c>
      <c r="Q421" s="283"/>
      <c r="R421" s="726"/>
      <c r="S421" s="383">
        <v>44350</v>
      </c>
      <c r="T421" s="159"/>
      <c r="U421" s="160"/>
      <c r="V421" s="512"/>
      <c r="W421" s="160"/>
      <c r="X421" s="163"/>
      <c r="Y421" s="163"/>
      <c r="Z421" s="164"/>
      <c r="AA421" s="165"/>
      <c r="AB421" s="166"/>
      <c r="AC421" s="167"/>
    </row>
    <row r="422" spans="1:29" s="168" customFormat="1" ht="19.5" customHeight="1">
      <c r="A422" s="359" t="s">
        <v>66</v>
      </c>
      <c r="B422" s="157"/>
      <c r="C422" s="158"/>
      <c r="D422" s="123" t="s">
        <v>488</v>
      </c>
      <c r="E422" s="124" t="s">
        <v>2042</v>
      </c>
      <c r="F422" s="320" t="s">
        <v>2031</v>
      </c>
      <c r="G422" s="625"/>
      <c r="H422" s="626"/>
      <c r="I422" s="624"/>
      <c r="J422" s="506" t="s">
        <v>2043</v>
      </c>
      <c r="K422" s="125" t="s">
        <v>2044</v>
      </c>
      <c r="L422" s="133" t="s">
        <v>2045</v>
      </c>
      <c r="M422" s="714">
        <v>40</v>
      </c>
      <c r="N422" s="127" t="s">
        <v>17</v>
      </c>
      <c r="O422" s="235"/>
      <c r="P422" s="90">
        <f t="shared" si="29"/>
        <v>40</v>
      </c>
      <c r="Q422" s="283"/>
      <c r="R422" s="726"/>
      <c r="S422" s="277" t="s">
        <v>168</v>
      </c>
      <c r="T422" s="159"/>
      <c r="U422" s="160"/>
      <c r="V422" s="664"/>
      <c r="W422" s="160"/>
      <c r="X422" s="163"/>
      <c r="Y422" s="163"/>
      <c r="Z422" s="164"/>
      <c r="AA422" s="165"/>
      <c r="AB422" s="166"/>
      <c r="AC422" s="167"/>
    </row>
    <row r="423" spans="1:29" ht="19.5" customHeight="1">
      <c r="A423" s="359" t="s">
        <v>28</v>
      </c>
      <c r="B423" s="648"/>
      <c r="C423" s="648"/>
      <c r="D423" s="123" t="s">
        <v>469</v>
      </c>
      <c r="E423" s="124" t="s">
        <v>1875</v>
      </c>
      <c r="F423" s="321">
        <v>43591</v>
      </c>
      <c r="G423" s="625"/>
      <c r="H423" s="626"/>
      <c r="I423" s="624"/>
      <c r="J423" s="515" t="s">
        <v>1876</v>
      </c>
      <c r="K423" s="285" t="s">
        <v>1877</v>
      </c>
      <c r="L423" s="290" t="s">
        <v>2273</v>
      </c>
      <c r="M423" s="724">
        <v>5</v>
      </c>
      <c r="N423" s="127" t="s">
        <v>17</v>
      </c>
      <c r="O423" s="663"/>
      <c r="P423" s="90">
        <f t="shared" ref="P423" si="32">IF(O423="",M423,M423-O423)</f>
        <v>5</v>
      </c>
      <c r="Q423" s="629"/>
      <c r="R423" s="726"/>
      <c r="S423" s="288">
        <v>43842</v>
      </c>
      <c r="T423" s="690"/>
      <c r="U423" s="654"/>
      <c r="V423" s="672"/>
      <c r="W423" s="673"/>
      <c r="X423" s="688"/>
      <c r="Y423" s="688"/>
      <c r="Z423" s="691"/>
      <c r="AA423" s="689"/>
      <c r="AB423" s="692"/>
      <c r="AC423" s="693"/>
    </row>
    <row r="424" spans="1:29" ht="19.5" customHeight="1">
      <c r="A424" s="359" t="s">
        <v>28</v>
      </c>
      <c r="B424" s="648"/>
      <c r="C424" s="648"/>
      <c r="D424" s="123" t="s">
        <v>767</v>
      </c>
      <c r="E424" s="124" t="s">
        <v>2133</v>
      </c>
      <c r="F424" s="321">
        <v>43657</v>
      </c>
      <c r="G424" s="625"/>
      <c r="H424" s="626"/>
      <c r="I424" s="624"/>
      <c r="J424" s="515" t="s">
        <v>2130</v>
      </c>
      <c r="K424" s="285" t="s">
        <v>2131</v>
      </c>
      <c r="L424" s="290" t="s">
        <v>2132</v>
      </c>
      <c r="M424" s="724">
        <v>7</v>
      </c>
      <c r="N424" s="127" t="s">
        <v>17</v>
      </c>
      <c r="O424" s="663"/>
      <c r="P424" s="90">
        <f t="shared" si="29"/>
        <v>7</v>
      </c>
      <c r="Q424" s="629"/>
      <c r="R424" s="726"/>
      <c r="S424" s="383" t="s">
        <v>168</v>
      </c>
      <c r="T424" s="690"/>
      <c r="U424" s="654"/>
      <c r="V424" s="672"/>
      <c r="W424" s="673"/>
      <c r="X424" s="688"/>
      <c r="Y424" s="688"/>
      <c r="Z424" s="691"/>
      <c r="AA424" s="689"/>
      <c r="AB424" s="692"/>
      <c r="AC424" s="693"/>
    </row>
    <row r="425" spans="1:29" ht="19.5" customHeight="1">
      <c r="A425" s="359" t="s">
        <v>20</v>
      </c>
      <c r="B425" s="648"/>
      <c r="C425" s="648"/>
      <c r="D425" s="123" t="s">
        <v>767</v>
      </c>
      <c r="E425" s="124" t="s">
        <v>1512</v>
      </c>
      <c r="F425" s="321" t="s">
        <v>1988</v>
      </c>
      <c r="G425" s="625"/>
      <c r="H425" s="626"/>
      <c r="I425" s="624"/>
      <c r="J425" s="515" t="s">
        <v>1725</v>
      </c>
      <c r="K425" s="285" t="s">
        <v>627</v>
      </c>
      <c r="L425" s="290" t="s">
        <v>1514</v>
      </c>
      <c r="M425" s="724">
        <v>10</v>
      </c>
      <c r="N425" s="127" t="s">
        <v>17</v>
      </c>
      <c r="O425" s="663"/>
      <c r="P425" s="90">
        <f t="shared" si="29"/>
        <v>10</v>
      </c>
      <c r="Q425" s="629"/>
      <c r="R425" s="726"/>
      <c r="S425" s="383" t="s">
        <v>168</v>
      </c>
      <c r="T425" s="690"/>
      <c r="U425" s="654"/>
      <c r="V425" s="672"/>
      <c r="W425" s="673"/>
      <c r="X425" s="688"/>
      <c r="Y425" s="688"/>
      <c r="Z425" s="691"/>
      <c r="AA425" s="689"/>
      <c r="AB425" s="692"/>
      <c r="AC425" s="693"/>
    </row>
    <row r="426" spans="1:29" s="141" customFormat="1" ht="20.25" customHeight="1">
      <c r="A426" s="377" t="s">
        <v>28</v>
      </c>
      <c r="B426" s="186"/>
      <c r="C426" s="188"/>
      <c r="D426" s="123" t="s">
        <v>767</v>
      </c>
      <c r="E426" s="124" t="s">
        <v>2023</v>
      </c>
      <c r="F426" s="639" t="s">
        <v>1977</v>
      </c>
      <c r="G426" s="627"/>
      <c r="H426" s="631"/>
      <c r="I426" s="632"/>
      <c r="J426" s="517" t="s">
        <v>1985</v>
      </c>
      <c r="K426" s="125"/>
      <c r="L426" s="125" t="s">
        <v>1794</v>
      </c>
      <c r="M426" s="514">
        <v>1</v>
      </c>
      <c r="N426" s="135" t="s">
        <v>17</v>
      </c>
      <c r="O426" s="235"/>
      <c r="P426" s="90">
        <f t="shared" si="29"/>
        <v>1</v>
      </c>
      <c r="Q426" s="382"/>
      <c r="R426" s="726"/>
      <c r="S426" s="383" t="s">
        <v>168</v>
      </c>
      <c r="T426" s="27"/>
      <c r="U426" s="81"/>
      <c r="V426" s="738"/>
      <c r="W426" s="744"/>
      <c r="X426" s="63"/>
      <c r="Y426" s="139"/>
      <c r="Z426" s="131"/>
      <c r="AA426" s="140"/>
    </row>
    <row r="427" spans="1:29" s="141" customFormat="1" ht="20.25" customHeight="1">
      <c r="A427" s="377" t="s">
        <v>20</v>
      </c>
      <c r="B427" s="186"/>
      <c r="C427" s="188"/>
      <c r="D427" s="123" t="s">
        <v>767</v>
      </c>
      <c r="E427" s="124" t="s">
        <v>1523</v>
      </c>
      <c r="F427" s="639" t="s">
        <v>1902</v>
      </c>
      <c r="G427" s="627"/>
      <c r="H427" s="631"/>
      <c r="I427" s="632"/>
      <c r="J427" s="517" t="s">
        <v>1525</v>
      </c>
      <c r="K427" s="125" t="s">
        <v>1526</v>
      </c>
      <c r="L427" s="125"/>
      <c r="M427" s="514">
        <v>2</v>
      </c>
      <c r="N427" s="135" t="s">
        <v>17</v>
      </c>
      <c r="O427" s="235"/>
      <c r="P427" s="90">
        <f t="shared" si="29"/>
        <v>2</v>
      </c>
      <c r="Q427" s="382" t="s">
        <v>1936</v>
      </c>
      <c r="R427" s="726"/>
      <c r="S427" s="383"/>
      <c r="T427" s="27"/>
      <c r="U427" s="81"/>
      <c r="V427" s="82"/>
      <c r="W427" s="81"/>
      <c r="X427" s="63"/>
      <c r="Y427" s="139"/>
      <c r="Z427" s="131"/>
      <c r="AA427" s="140"/>
    </row>
    <row r="428" spans="1:29" s="1" customFormat="1" ht="20.25" customHeight="1">
      <c r="A428" s="359" t="s">
        <v>20</v>
      </c>
      <c r="B428"/>
      <c r="C428" s="76"/>
      <c r="D428" s="123" t="s">
        <v>767</v>
      </c>
      <c r="E428" s="233" t="s">
        <v>1306</v>
      </c>
      <c r="F428" s="319" t="s">
        <v>1738</v>
      </c>
      <c r="G428" s="627"/>
      <c r="H428" s="631"/>
      <c r="I428" s="624"/>
      <c r="J428" s="519" t="s">
        <v>1740</v>
      </c>
      <c r="K428" s="234" t="s">
        <v>1307</v>
      </c>
      <c r="L428" s="3" t="s">
        <v>1308</v>
      </c>
      <c r="M428" s="369">
        <v>12</v>
      </c>
      <c r="N428" s="236" t="s">
        <v>17</v>
      </c>
      <c r="O428" s="235"/>
      <c r="P428" s="90">
        <f t="shared" si="29"/>
        <v>12</v>
      </c>
      <c r="Q428" s="328"/>
      <c r="R428" s="726"/>
      <c r="S428" s="288" t="s">
        <v>168</v>
      </c>
      <c r="T428" s="27"/>
      <c r="U428" s="8"/>
      <c r="V428" s="121"/>
      <c r="W428" s="8"/>
      <c r="X428" s="63"/>
      <c r="Y428" s="63"/>
      <c r="Z428" s="64"/>
      <c r="AA428" s="65"/>
      <c r="AB428"/>
      <c r="AC428"/>
    </row>
    <row r="429" spans="1:29" ht="20.25" customHeight="1">
      <c r="A429" s="377" t="s">
        <v>28</v>
      </c>
      <c r="B429" s="186"/>
      <c r="C429" s="188"/>
      <c r="D429" s="123" t="s">
        <v>591</v>
      </c>
      <c r="E429" s="124"/>
      <c r="F429" s="319" t="s">
        <v>1802</v>
      </c>
      <c r="G429" s="627"/>
      <c r="H429" s="631"/>
      <c r="I429" s="632"/>
      <c r="J429" s="718" t="s">
        <v>1803</v>
      </c>
      <c r="K429" s="125"/>
      <c r="L429" s="125"/>
      <c r="M429" s="514">
        <v>8</v>
      </c>
      <c r="N429" s="127" t="s">
        <v>17</v>
      </c>
      <c r="O429" s="126"/>
      <c r="P429" s="90">
        <f t="shared" si="29"/>
        <v>8</v>
      </c>
      <c r="Q429" s="382" t="s">
        <v>1804</v>
      </c>
      <c r="R429" s="726"/>
      <c r="S429" s="383" t="s">
        <v>168</v>
      </c>
      <c r="T429" s="27"/>
      <c r="U429" s="81"/>
      <c r="V429" s="738"/>
      <c r="W429" s="81"/>
      <c r="X429" s="63"/>
      <c r="Y429" s="139"/>
      <c r="Z429" s="131"/>
      <c r="AA429" s="140"/>
      <c r="AB429" s="141"/>
      <c r="AC429" s="141"/>
    </row>
    <row r="430" spans="1:29" s="168" customFormat="1" ht="21.75" customHeight="1">
      <c r="A430" s="359" t="s">
        <v>20</v>
      </c>
      <c r="B430" s="157"/>
      <c r="C430" s="158"/>
      <c r="D430" s="123" t="s">
        <v>1917</v>
      </c>
      <c r="E430" s="124" t="s">
        <v>1273</v>
      </c>
      <c r="F430" s="320">
        <v>43676</v>
      </c>
      <c r="G430" s="625"/>
      <c r="H430" s="626"/>
      <c r="I430" s="624" t="s">
        <v>1716</v>
      </c>
      <c r="J430" s="506" t="s">
        <v>2203</v>
      </c>
      <c r="K430" s="125" t="s">
        <v>2204</v>
      </c>
      <c r="L430" s="133" t="s">
        <v>6</v>
      </c>
      <c r="M430" s="714">
        <v>8</v>
      </c>
      <c r="N430" s="127" t="s">
        <v>17</v>
      </c>
      <c r="O430" s="235"/>
      <c r="P430" s="90">
        <f t="shared" ref="P430:P431" si="33">IF(O430="",M430,M430-O430)</f>
        <v>8</v>
      </c>
      <c r="Q430" s="754"/>
      <c r="R430" s="726"/>
      <c r="S430" s="383">
        <v>44350</v>
      </c>
      <c r="T430" s="159"/>
      <c r="U430" s="160"/>
      <c r="V430" s="512"/>
      <c r="W430" s="160"/>
      <c r="X430" s="163"/>
      <c r="Y430" s="163"/>
      <c r="Z430" s="164"/>
      <c r="AA430" s="165"/>
      <c r="AB430" s="166"/>
      <c r="AC430" s="167"/>
    </row>
    <row r="431" spans="1:29" s="168" customFormat="1" ht="21.75" customHeight="1">
      <c r="A431" s="359" t="s">
        <v>20</v>
      </c>
      <c r="B431" s="157"/>
      <c r="C431" s="158"/>
      <c r="D431" s="123" t="s">
        <v>1917</v>
      </c>
      <c r="E431" s="124" t="s">
        <v>1273</v>
      </c>
      <c r="F431" s="320"/>
      <c r="G431" s="625"/>
      <c r="H431" s="626"/>
      <c r="I431" s="624" t="s">
        <v>1716</v>
      </c>
      <c r="J431" s="506" t="s">
        <v>2321</v>
      </c>
      <c r="K431" s="125" t="s">
        <v>2204</v>
      </c>
      <c r="L431" s="133" t="s">
        <v>6</v>
      </c>
      <c r="M431" s="714">
        <v>11</v>
      </c>
      <c r="N431" s="127" t="s">
        <v>17</v>
      </c>
      <c r="O431" s="235"/>
      <c r="P431" s="90">
        <f t="shared" si="33"/>
        <v>11</v>
      </c>
      <c r="Q431" s="754"/>
      <c r="R431" s="726"/>
      <c r="S431" s="383">
        <v>44289</v>
      </c>
      <c r="T431" s="159"/>
      <c r="U431" s="160"/>
      <c r="V431" s="512"/>
      <c r="W431" s="160"/>
      <c r="X431" s="163"/>
      <c r="Y431" s="163"/>
      <c r="Z431" s="164"/>
      <c r="AA431" s="165"/>
      <c r="AB431" s="166"/>
      <c r="AC431" s="167"/>
    </row>
    <row r="432" spans="1:29" s="168" customFormat="1" ht="21.75" customHeight="1">
      <c r="A432" s="359" t="s">
        <v>20</v>
      </c>
      <c r="B432" s="157"/>
      <c r="C432" s="158"/>
      <c r="D432" s="123" t="s">
        <v>1917</v>
      </c>
      <c r="E432" s="124" t="s">
        <v>2205</v>
      </c>
      <c r="F432" s="320">
        <v>43676</v>
      </c>
      <c r="G432" s="625"/>
      <c r="H432" s="626"/>
      <c r="I432" s="624" t="s">
        <v>2320</v>
      </c>
      <c r="J432" s="506" t="s">
        <v>2206</v>
      </c>
      <c r="K432" s="125" t="s">
        <v>341</v>
      </c>
      <c r="L432" s="133" t="s">
        <v>6</v>
      </c>
      <c r="M432" s="714">
        <v>15</v>
      </c>
      <c r="N432" s="127" t="s">
        <v>17</v>
      </c>
      <c r="O432" s="235"/>
      <c r="P432" s="90">
        <f t="shared" si="29"/>
        <v>15</v>
      </c>
      <c r="Q432" s="754"/>
      <c r="R432" s="726"/>
      <c r="S432" s="383">
        <v>44350</v>
      </c>
      <c r="T432" s="159"/>
      <c r="U432" s="160"/>
      <c r="V432" s="512"/>
      <c r="W432" s="160"/>
      <c r="X432" s="163"/>
      <c r="Y432" s="163"/>
      <c r="Z432" s="164"/>
      <c r="AA432" s="165"/>
      <c r="AB432" s="166"/>
      <c r="AC432" s="167"/>
    </row>
    <row r="433" spans="1:29" s="168" customFormat="1" ht="18.75" customHeight="1">
      <c r="A433" s="359" t="s">
        <v>71</v>
      </c>
      <c r="B433" s="157"/>
      <c r="C433" s="158"/>
      <c r="D433" s="85" t="s">
        <v>1917</v>
      </c>
      <c r="E433" s="536" t="s">
        <v>169</v>
      </c>
      <c r="F433" s="601" t="s">
        <v>2056</v>
      </c>
      <c r="G433" s="625"/>
      <c r="H433" s="626"/>
      <c r="I433" s="624"/>
      <c r="J433" s="610" t="s">
        <v>2071</v>
      </c>
      <c r="K433" s="541" t="s">
        <v>1406</v>
      </c>
      <c r="L433" s="252" t="s">
        <v>7</v>
      </c>
      <c r="M433" s="602">
        <v>54</v>
      </c>
      <c r="N433" s="547" t="s">
        <v>1657</v>
      </c>
      <c r="O433" s="537">
        <v>54</v>
      </c>
      <c r="P433" s="603">
        <f t="shared" si="29"/>
        <v>0</v>
      </c>
      <c r="Q433" s="526" t="s">
        <v>2065</v>
      </c>
      <c r="R433" s="726" t="s">
        <v>2385</v>
      </c>
      <c r="S433" s="277" t="s">
        <v>2066</v>
      </c>
      <c r="T433" s="159"/>
      <c r="U433" s="160"/>
      <c r="V433" s="161"/>
      <c r="W433" s="162"/>
      <c r="X433" s="163"/>
      <c r="Y433" s="163"/>
      <c r="Z433" s="164"/>
      <c r="AA433" s="165"/>
      <c r="AB433" s="166"/>
      <c r="AC433" s="167"/>
    </row>
    <row r="434" spans="1:29" s="168" customFormat="1" ht="19.5" customHeight="1">
      <c r="A434" s="359" t="s">
        <v>28</v>
      </c>
      <c r="B434" s="157"/>
      <c r="C434" s="158"/>
      <c r="D434" s="123" t="s">
        <v>2002</v>
      </c>
      <c r="E434" s="124" t="s">
        <v>1773</v>
      </c>
      <c r="F434" s="320" t="s">
        <v>1776</v>
      </c>
      <c r="G434" s="625"/>
      <c r="H434" s="626"/>
      <c r="I434" s="624"/>
      <c r="J434" s="506" t="s">
        <v>1774</v>
      </c>
      <c r="K434" s="125" t="s">
        <v>1397</v>
      </c>
      <c r="L434" s="133" t="s">
        <v>1775</v>
      </c>
      <c r="M434" s="370">
        <v>4</v>
      </c>
      <c r="N434" s="127" t="s">
        <v>17</v>
      </c>
      <c r="O434" s="235"/>
      <c r="P434" s="90">
        <f t="shared" si="29"/>
        <v>4</v>
      </c>
      <c r="Q434" s="283"/>
      <c r="R434" s="726"/>
      <c r="S434" s="277" t="s">
        <v>168</v>
      </c>
      <c r="T434" s="159"/>
      <c r="U434" s="160"/>
      <c r="V434" s="664"/>
      <c r="W434" s="160"/>
      <c r="X434" s="163"/>
      <c r="Y434" s="163"/>
      <c r="Z434" s="164"/>
      <c r="AA434" s="165"/>
      <c r="AB434" s="166"/>
      <c r="AC434" s="167"/>
    </row>
    <row r="435" spans="1:29" s="168" customFormat="1" ht="21.75" customHeight="1">
      <c r="A435" s="359" t="s">
        <v>28</v>
      </c>
      <c r="B435" s="157"/>
      <c r="C435" s="158"/>
      <c r="D435" s="123" t="s">
        <v>2002</v>
      </c>
      <c r="E435" s="124" t="s">
        <v>2191</v>
      </c>
      <c r="F435" s="320">
        <v>43676</v>
      </c>
      <c r="G435" s="625"/>
      <c r="H435" s="626"/>
      <c r="I435" s="624"/>
      <c r="J435" s="506" t="s">
        <v>1841</v>
      </c>
      <c r="K435" s="125" t="s">
        <v>1015</v>
      </c>
      <c r="L435" s="133" t="s">
        <v>1842</v>
      </c>
      <c r="M435" s="714">
        <v>3</v>
      </c>
      <c r="N435" s="127" t="s">
        <v>17</v>
      </c>
      <c r="O435" s="235"/>
      <c r="P435" s="90">
        <f t="shared" si="29"/>
        <v>3</v>
      </c>
      <c r="Q435" s="283"/>
      <c r="R435" s="726"/>
      <c r="S435" s="383">
        <v>44261</v>
      </c>
      <c r="T435" s="159"/>
      <c r="U435" s="160"/>
      <c r="V435" s="512"/>
      <c r="W435" s="160"/>
      <c r="X435" s="163"/>
      <c r="Y435" s="163"/>
      <c r="Z435" s="164"/>
      <c r="AA435" s="165"/>
      <c r="AB435" s="166"/>
      <c r="AC435" s="167"/>
    </row>
    <row r="436" spans="1:29" s="168" customFormat="1" ht="21.75" customHeight="1">
      <c r="A436" s="359" t="s">
        <v>28</v>
      </c>
      <c r="B436" s="157"/>
      <c r="C436" s="158"/>
      <c r="D436" s="123" t="s">
        <v>2002</v>
      </c>
      <c r="E436" s="124" t="s">
        <v>2153</v>
      </c>
      <c r="F436" s="320">
        <v>43676</v>
      </c>
      <c r="G436" s="625"/>
      <c r="H436" s="626"/>
      <c r="I436" s="624"/>
      <c r="J436" s="506" t="s">
        <v>2152</v>
      </c>
      <c r="K436" s="125" t="s">
        <v>150</v>
      </c>
      <c r="L436" s="133" t="s">
        <v>83</v>
      </c>
      <c r="M436" s="714">
        <v>3</v>
      </c>
      <c r="N436" s="127" t="s">
        <v>17</v>
      </c>
      <c r="O436" s="235"/>
      <c r="P436" s="90">
        <f t="shared" ref="P436:P466" si="34">IF(O436="",M436,M436-O436)</f>
        <v>3</v>
      </c>
      <c r="Q436" s="283"/>
      <c r="R436" s="726"/>
      <c r="S436" s="383" t="s">
        <v>168</v>
      </c>
      <c r="T436" s="159"/>
      <c r="U436" s="160"/>
      <c r="V436" s="512"/>
      <c r="W436" s="160"/>
      <c r="X436" s="163"/>
      <c r="Y436" s="163"/>
      <c r="Z436" s="164"/>
      <c r="AA436" s="165"/>
      <c r="AB436" s="166"/>
      <c r="AC436" s="167"/>
    </row>
    <row r="437" spans="1:29" s="168" customFormat="1" ht="21.75" customHeight="1">
      <c r="A437" s="359" t="s">
        <v>28</v>
      </c>
      <c r="B437" s="157"/>
      <c r="C437" s="158"/>
      <c r="D437" s="123" t="s">
        <v>2002</v>
      </c>
      <c r="E437" s="124" t="s">
        <v>2188</v>
      </c>
      <c r="F437" s="320">
        <v>43676</v>
      </c>
      <c r="G437" s="625"/>
      <c r="H437" s="626"/>
      <c r="I437" s="624"/>
      <c r="J437" s="506" t="s">
        <v>2189</v>
      </c>
      <c r="K437" s="125" t="s">
        <v>869</v>
      </c>
      <c r="L437" s="133" t="s">
        <v>2190</v>
      </c>
      <c r="M437" s="714">
        <v>2</v>
      </c>
      <c r="N437" s="127" t="s">
        <v>17</v>
      </c>
      <c r="O437" s="235"/>
      <c r="P437" s="90">
        <f t="shared" si="34"/>
        <v>2</v>
      </c>
      <c r="Q437" s="283"/>
      <c r="R437" s="726"/>
      <c r="S437" s="383">
        <v>44219</v>
      </c>
      <c r="T437" s="159"/>
      <c r="U437" s="160"/>
      <c r="V437" s="512"/>
      <c r="W437" s="160"/>
      <c r="X437" s="163"/>
      <c r="Y437" s="163"/>
      <c r="Z437" s="164"/>
      <c r="AA437" s="165"/>
      <c r="AB437" s="166"/>
      <c r="AC437" s="167"/>
    </row>
    <row r="438" spans="1:29" s="168" customFormat="1" ht="21" customHeight="1">
      <c r="A438" s="359" t="s">
        <v>28</v>
      </c>
      <c r="B438" s="157"/>
      <c r="C438" s="158"/>
      <c r="D438" s="123" t="s">
        <v>2002</v>
      </c>
      <c r="E438" s="124" t="s">
        <v>1773</v>
      </c>
      <c r="F438" s="320">
        <v>43684</v>
      </c>
      <c r="G438" s="625"/>
      <c r="H438" s="626"/>
      <c r="I438" s="624"/>
      <c r="J438" s="506" t="s">
        <v>1774</v>
      </c>
      <c r="K438" s="125" t="s">
        <v>1397</v>
      </c>
      <c r="L438" s="133" t="s">
        <v>2466</v>
      </c>
      <c r="M438" s="370">
        <v>24</v>
      </c>
      <c r="N438" s="127" t="s">
        <v>17</v>
      </c>
      <c r="O438" s="235"/>
      <c r="P438" s="90">
        <f t="shared" si="34"/>
        <v>24</v>
      </c>
      <c r="Q438" s="283"/>
      <c r="R438" s="726"/>
      <c r="S438" s="383" t="s">
        <v>168</v>
      </c>
      <c r="T438" s="159"/>
      <c r="U438" s="160"/>
      <c r="V438" s="512"/>
      <c r="W438" s="160"/>
      <c r="X438" s="163"/>
      <c r="Y438" s="163"/>
      <c r="Z438" s="164"/>
      <c r="AA438" s="165"/>
      <c r="AB438" s="166"/>
      <c r="AC438" s="167"/>
    </row>
    <row r="439" spans="1:29" s="141" customFormat="1" ht="20.25" customHeight="1">
      <c r="A439" s="377"/>
      <c r="B439" s="186"/>
      <c r="C439" s="188"/>
      <c r="D439" s="123" t="s">
        <v>1820</v>
      </c>
      <c r="E439" s="124" t="s">
        <v>30</v>
      </c>
      <c r="F439" s="319"/>
      <c r="G439" s="627"/>
      <c r="H439" s="631"/>
      <c r="I439" s="632"/>
      <c r="J439" s="517" t="s">
        <v>30</v>
      </c>
      <c r="K439" s="125"/>
      <c r="L439" s="125"/>
      <c r="M439" s="514">
        <v>1</v>
      </c>
      <c r="N439" s="127" t="s">
        <v>268</v>
      </c>
      <c r="O439" s="235"/>
      <c r="P439" s="90">
        <f t="shared" si="34"/>
        <v>1</v>
      </c>
      <c r="Q439" s="382" t="s">
        <v>1819</v>
      </c>
      <c r="R439" s="726"/>
      <c r="S439" s="383"/>
      <c r="T439" s="27"/>
      <c r="U439" s="81"/>
      <c r="V439" s="82"/>
      <c r="W439" s="81"/>
      <c r="X439" s="63"/>
      <c r="Y439" s="139"/>
      <c r="Z439" s="131"/>
      <c r="AA439" s="140"/>
    </row>
    <row r="440" spans="1:29" ht="20.25" customHeight="1">
      <c r="A440" s="377" t="s">
        <v>20</v>
      </c>
      <c r="B440" s="186"/>
      <c r="C440" s="188"/>
      <c r="D440" s="261" t="s">
        <v>379</v>
      </c>
      <c r="E440" s="262"/>
      <c r="F440" s="355"/>
      <c r="G440" s="625"/>
      <c r="H440" s="626"/>
      <c r="I440" s="624"/>
      <c r="J440" s="516" t="s">
        <v>1211</v>
      </c>
      <c r="K440" s="258" t="s">
        <v>546</v>
      </c>
      <c r="L440" s="354" t="s">
        <v>1212</v>
      </c>
      <c r="M440" s="372">
        <v>1</v>
      </c>
      <c r="N440" s="357" t="s">
        <v>268</v>
      </c>
      <c r="O440" s="235"/>
      <c r="P440" s="90">
        <f t="shared" si="34"/>
        <v>1</v>
      </c>
      <c r="Q440" s="356"/>
      <c r="R440" s="726"/>
      <c r="S440" s="337" t="s">
        <v>168</v>
      </c>
      <c r="T440" s="54"/>
      <c r="U440" s="73"/>
      <c r="V440" s="74"/>
      <c r="W440" s="73"/>
      <c r="X440" s="66"/>
      <c r="Y440" s="66"/>
      <c r="Z440" s="67"/>
      <c r="AA440" s="68"/>
      <c r="AB440" s="142"/>
      <c r="AC440" s="117"/>
    </row>
    <row r="441" spans="1:29" s="168" customFormat="1" ht="21.75" customHeight="1">
      <c r="A441" s="359" t="s">
        <v>28</v>
      </c>
      <c r="B441" s="157"/>
      <c r="C441" s="158"/>
      <c r="D441" s="123" t="s">
        <v>561</v>
      </c>
      <c r="E441" s="124" t="s">
        <v>1721</v>
      </c>
      <c r="F441" s="320">
        <v>43633</v>
      </c>
      <c r="G441" s="625"/>
      <c r="H441" s="626"/>
      <c r="I441" s="624"/>
      <c r="J441" s="506" t="s">
        <v>1723</v>
      </c>
      <c r="K441" s="125" t="s">
        <v>1724</v>
      </c>
      <c r="L441" s="133" t="s">
        <v>1395</v>
      </c>
      <c r="M441" s="370">
        <v>48</v>
      </c>
      <c r="N441" s="127" t="s">
        <v>17</v>
      </c>
      <c r="O441" s="235"/>
      <c r="P441" s="90">
        <f t="shared" si="34"/>
        <v>48</v>
      </c>
      <c r="Q441" s="283"/>
      <c r="R441" s="726"/>
      <c r="S441" s="383">
        <v>44317</v>
      </c>
      <c r="T441" s="159"/>
      <c r="U441" s="160"/>
      <c r="V441" s="512"/>
      <c r="W441" s="160"/>
      <c r="X441" s="163"/>
      <c r="Y441" s="163"/>
      <c r="Z441" s="164"/>
      <c r="AA441" s="165"/>
      <c r="AB441" s="166"/>
      <c r="AC441" s="167"/>
    </row>
    <row r="442" spans="1:29" s="168" customFormat="1" ht="21.75" customHeight="1">
      <c r="A442" s="359" t="s">
        <v>28</v>
      </c>
      <c r="B442" s="157"/>
      <c r="C442" s="158"/>
      <c r="D442" s="123" t="s">
        <v>365</v>
      </c>
      <c r="E442" s="124" t="s">
        <v>1805</v>
      </c>
      <c r="F442" s="320" t="s">
        <v>2195</v>
      </c>
      <c r="G442" s="625"/>
      <c r="H442" s="626"/>
      <c r="I442" s="624"/>
      <c r="J442" s="506" t="s">
        <v>1806</v>
      </c>
      <c r="K442" s="125" t="s">
        <v>1807</v>
      </c>
      <c r="L442" s="133" t="s">
        <v>2272</v>
      </c>
      <c r="M442" s="370">
        <v>24</v>
      </c>
      <c r="N442" s="127" t="s">
        <v>17</v>
      </c>
      <c r="O442" s="235"/>
      <c r="P442" s="90">
        <f t="shared" si="34"/>
        <v>24</v>
      </c>
      <c r="Q442" s="283"/>
      <c r="R442" s="726"/>
      <c r="S442" s="383" t="s">
        <v>168</v>
      </c>
      <c r="T442" s="159"/>
      <c r="U442" s="160"/>
      <c r="V442" s="512"/>
      <c r="W442" s="160"/>
      <c r="X442" s="163"/>
      <c r="Y442" s="163"/>
      <c r="Z442" s="164"/>
      <c r="AA442" s="165"/>
      <c r="AB442" s="166"/>
      <c r="AC442" s="167"/>
    </row>
    <row r="443" spans="1:29" ht="19.5" customHeight="1">
      <c r="A443" s="359" t="s">
        <v>28</v>
      </c>
      <c r="C443" s="76"/>
      <c r="D443" s="123" t="s">
        <v>562</v>
      </c>
      <c r="E443" s="124" t="s">
        <v>1704</v>
      </c>
      <c r="F443" s="319">
        <v>43665</v>
      </c>
      <c r="G443" s="627"/>
      <c r="H443" s="627"/>
      <c r="I443" s="628"/>
      <c r="J443" s="718" t="s">
        <v>1705</v>
      </c>
      <c r="K443" s="125" t="s">
        <v>1147</v>
      </c>
      <c r="L443" s="125" t="s">
        <v>152</v>
      </c>
      <c r="M443" s="380">
        <v>36</v>
      </c>
      <c r="N443" s="127" t="s">
        <v>17</v>
      </c>
      <c r="O443" s="235"/>
      <c r="P443" s="90">
        <f t="shared" si="34"/>
        <v>36</v>
      </c>
      <c r="Q443" s="382"/>
      <c r="R443" s="726"/>
      <c r="S443" s="383">
        <v>44167</v>
      </c>
      <c r="T443" s="27"/>
      <c r="U443" s="81"/>
      <c r="V443" s="82"/>
      <c r="W443" s="81"/>
      <c r="X443" s="63"/>
      <c r="Y443" s="139">
        <v>42.5</v>
      </c>
      <c r="Z443" s="131"/>
      <c r="AA443" s="140"/>
      <c r="AB443" s="141"/>
      <c r="AC443" s="141"/>
    </row>
    <row r="444" spans="1:29" ht="19.5" customHeight="1">
      <c r="A444" s="359" t="s">
        <v>52</v>
      </c>
      <c r="C444" s="76"/>
      <c r="D444" s="123" t="s">
        <v>628</v>
      </c>
      <c r="E444" s="124" t="s">
        <v>939</v>
      </c>
      <c r="F444" s="319">
        <v>43074</v>
      </c>
      <c r="G444" s="627"/>
      <c r="H444" s="627"/>
      <c r="I444" s="628"/>
      <c r="J444" s="718" t="s">
        <v>940</v>
      </c>
      <c r="K444" s="125" t="s">
        <v>941</v>
      </c>
      <c r="L444" s="125" t="s">
        <v>942</v>
      </c>
      <c r="M444" s="380">
        <v>7</v>
      </c>
      <c r="N444" s="127" t="s">
        <v>17</v>
      </c>
      <c r="O444" s="235"/>
      <c r="P444" s="90">
        <f t="shared" si="34"/>
        <v>7</v>
      </c>
      <c r="Q444" s="382" t="s">
        <v>1326</v>
      </c>
      <c r="R444" s="726"/>
      <c r="S444" s="383">
        <v>43766</v>
      </c>
      <c r="T444" s="27"/>
      <c r="U444" s="81"/>
      <c r="V444" s="82"/>
      <c r="W444" s="81"/>
      <c r="X444" s="63"/>
      <c r="Y444" s="139">
        <v>42.5</v>
      </c>
      <c r="Z444" s="131"/>
      <c r="AA444" s="140"/>
      <c r="AB444" s="141"/>
      <c r="AC444" s="141"/>
    </row>
    <row r="445" spans="1:29" ht="21" customHeight="1">
      <c r="A445" s="359" t="s">
        <v>28</v>
      </c>
      <c r="C445" s="76"/>
      <c r="D445" s="123" t="s">
        <v>781</v>
      </c>
      <c r="E445" s="124" t="s">
        <v>2279</v>
      </c>
      <c r="F445" s="319">
        <v>43686</v>
      </c>
      <c r="G445" s="627"/>
      <c r="H445" s="631"/>
      <c r="I445" s="632"/>
      <c r="J445" s="718" t="s">
        <v>2278</v>
      </c>
      <c r="K445" s="125" t="s">
        <v>950</v>
      </c>
      <c r="L445" s="125" t="s">
        <v>1602</v>
      </c>
      <c r="M445" s="514">
        <v>10</v>
      </c>
      <c r="N445" s="127" t="s">
        <v>17</v>
      </c>
      <c r="O445" s="235"/>
      <c r="P445" s="90">
        <f t="shared" ref="P445" si="35">IF(O445="",M445,M445-O445)</f>
        <v>10</v>
      </c>
      <c r="Q445" s="382"/>
      <c r="R445" s="726"/>
      <c r="S445" s="383" t="s">
        <v>168</v>
      </c>
      <c r="T445" s="27"/>
      <c r="U445" s="81"/>
      <c r="V445" s="82"/>
      <c r="W445" s="81"/>
      <c r="X445" s="63"/>
      <c r="Y445" s="139"/>
      <c r="Z445" s="131"/>
      <c r="AA445" s="140"/>
      <c r="AB445" s="141"/>
      <c r="AC445" s="141"/>
    </row>
    <row r="446" spans="1:29" ht="18" customHeight="1">
      <c r="A446" s="359" t="s">
        <v>20</v>
      </c>
      <c r="C446" s="76"/>
      <c r="D446" s="123" t="s">
        <v>781</v>
      </c>
      <c r="E446" s="124" t="s">
        <v>1502</v>
      </c>
      <c r="F446" s="319">
        <v>43363</v>
      </c>
      <c r="G446" s="627"/>
      <c r="H446" s="631"/>
      <c r="I446" s="632"/>
      <c r="J446" s="718" t="s">
        <v>2020</v>
      </c>
      <c r="K446" s="125" t="s">
        <v>2021</v>
      </c>
      <c r="L446" s="125" t="s">
        <v>1463</v>
      </c>
      <c r="M446" s="514">
        <v>7</v>
      </c>
      <c r="N446" s="127" t="s">
        <v>17</v>
      </c>
      <c r="O446" s="235"/>
      <c r="P446" s="90">
        <f t="shared" si="34"/>
        <v>7</v>
      </c>
      <c r="Q446" s="382"/>
      <c r="R446" s="726"/>
      <c r="S446" s="383" t="s">
        <v>168</v>
      </c>
      <c r="T446" s="27"/>
      <c r="U446" s="81"/>
      <c r="V446" s="82"/>
      <c r="W446" s="81"/>
      <c r="X446" s="63"/>
      <c r="Y446" s="139"/>
      <c r="Z446" s="131"/>
      <c r="AA446" s="140"/>
      <c r="AB446" s="141"/>
      <c r="AC446" s="141"/>
    </row>
    <row r="447" spans="1:29" s="168" customFormat="1" ht="18.75" customHeight="1">
      <c r="A447" s="359" t="s">
        <v>20</v>
      </c>
      <c r="B447" s="157"/>
      <c r="C447" s="158"/>
      <c r="D447" s="123" t="s">
        <v>1689</v>
      </c>
      <c r="E447" s="124" t="s">
        <v>30</v>
      </c>
      <c r="F447" s="320">
        <v>43419</v>
      </c>
      <c r="G447" s="625"/>
      <c r="H447" s="626"/>
      <c r="I447" s="624"/>
      <c r="J447" s="517" t="s">
        <v>30</v>
      </c>
      <c r="K447" s="125" t="s">
        <v>1870</v>
      </c>
      <c r="L447" s="133"/>
      <c r="M447" s="370">
        <v>1</v>
      </c>
      <c r="N447" s="127" t="s">
        <v>268</v>
      </c>
      <c r="O447" s="235"/>
      <c r="P447" s="90">
        <f t="shared" si="34"/>
        <v>1</v>
      </c>
      <c r="Q447" s="283"/>
      <c r="R447" s="726"/>
      <c r="S447" s="550" t="s">
        <v>168</v>
      </c>
      <c r="T447" s="159"/>
      <c r="U447" s="160"/>
      <c r="V447" s="664"/>
      <c r="W447" s="665"/>
      <c r="X447" s="163"/>
      <c r="Y447" s="163"/>
      <c r="Z447" s="164"/>
      <c r="AA447" s="165"/>
      <c r="AB447" s="166"/>
      <c r="AC447" s="167"/>
    </row>
    <row r="448" spans="1:29" s="168" customFormat="1" ht="20.25">
      <c r="A448" s="359" t="s">
        <v>71</v>
      </c>
      <c r="B448" s="157"/>
      <c r="C448" s="158"/>
      <c r="D448" s="123" t="s">
        <v>607</v>
      </c>
      <c r="E448" s="124" t="s">
        <v>1645</v>
      </c>
      <c r="F448" s="320">
        <v>43468</v>
      </c>
      <c r="G448" s="625"/>
      <c r="H448" s="626"/>
      <c r="I448" s="624"/>
      <c r="J448" s="506" t="s">
        <v>1649</v>
      </c>
      <c r="K448" s="125" t="s">
        <v>1653</v>
      </c>
      <c r="L448" s="133" t="s">
        <v>1662</v>
      </c>
      <c r="M448" s="370">
        <v>11</v>
      </c>
      <c r="N448" s="127" t="s">
        <v>17</v>
      </c>
      <c r="O448" s="235"/>
      <c r="P448" s="90">
        <f t="shared" si="34"/>
        <v>11</v>
      </c>
      <c r="Q448" s="283"/>
      <c r="R448" s="726"/>
      <c r="S448" s="277" t="s">
        <v>168</v>
      </c>
      <c r="T448" s="159"/>
      <c r="U448" s="160"/>
      <c r="V448" s="512"/>
      <c r="W448" s="160"/>
      <c r="X448" s="163"/>
      <c r="Y448" s="163"/>
      <c r="Z448" s="164"/>
      <c r="AA448" s="165"/>
      <c r="AB448" s="166"/>
      <c r="AC448" s="167"/>
    </row>
    <row r="449" spans="1:29" ht="20.25" customHeight="1">
      <c r="A449" s="359" t="s">
        <v>20</v>
      </c>
      <c r="C449" s="76"/>
      <c r="D449" s="123" t="s">
        <v>607</v>
      </c>
      <c r="E449" s="124" t="s">
        <v>1537</v>
      </c>
      <c r="F449" s="319">
        <v>43363</v>
      </c>
      <c r="G449" s="627"/>
      <c r="H449" s="631"/>
      <c r="I449" s="632"/>
      <c r="J449" s="718" t="s">
        <v>1542</v>
      </c>
      <c r="K449" s="125" t="s">
        <v>1543</v>
      </c>
      <c r="L449" s="125" t="s">
        <v>1544</v>
      </c>
      <c r="M449" s="514">
        <v>1</v>
      </c>
      <c r="N449" s="135" t="s">
        <v>17</v>
      </c>
      <c r="O449" s="235"/>
      <c r="P449" s="90">
        <f t="shared" si="34"/>
        <v>1</v>
      </c>
      <c r="Q449" s="382"/>
      <c r="R449" s="726"/>
      <c r="S449" s="383" t="s">
        <v>168</v>
      </c>
      <c r="T449" s="27"/>
      <c r="U449" s="81"/>
      <c r="V449" s="82"/>
      <c r="W449" s="81"/>
      <c r="X449" s="63"/>
      <c r="Y449" s="139"/>
      <c r="Z449" s="131"/>
      <c r="AA449" s="140"/>
      <c r="AB449" s="141"/>
      <c r="AC449" s="141"/>
    </row>
    <row r="450" spans="1:29" ht="20.25" customHeight="1">
      <c r="A450" s="359" t="s">
        <v>20</v>
      </c>
      <c r="C450" s="76"/>
      <c r="D450" s="123" t="s">
        <v>607</v>
      </c>
      <c r="E450" s="124" t="s">
        <v>1538</v>
      </c>
      <c r="F450" s="319">
        <v>43363</v>
      </c>
      <c r="G450" s="627"/>
      <c r="H450" s="631"/>
      <c r="I450" s="632"/>
      <c r="J450" s="718" t="s">
        <v>1545</v>
      </c>
      <c r="K450" s="125" t="s">
        <v>1546</v>
      </c>
      <c r="L450" s="125" t="s">
        <v>1544</v>
      </c>
      <c r="M450" s="514">
        <v>1</v>
      </c>
      <c r="N450" s="127" t="s">
        <v>17</v>
      </c>
      <c r="O450" s="235"/>
      <c r="P450" s="90">
        <f t="shared" si="34"/>
        <v>1</v>
      </c>
      <c r="Q450" s="382"/>
      <c r="R450" s="726"/>
      <c r="S450" s="383" t="s">
        <v>168</v>
      </c>
      <c r="T450" s="27"/>
      <c r="U450" s="81"/>
      <c r="V450" s="82"/>
      <c r="W450" s="81"/>
      <c r="X450" s="63"/>
      <c r="Y450" s="139"/>
      <c r="Z450" s="131"/>
      <c r="AA450" s="140"/>
      <c r="AB450" s="141"/>
      <c r="AC450" s="141"/>
    </row>
    <row r="451" spans="1:29" ht="20.25" customHeight="1">
      <c r="A451" s="359" t="s">
        <v>20</v>
      </c>
      <c r="C451" s="76"/>
      <c r="D451" s="123" t="s">
        <v>607</v>
      </c>
      <c r="E451" s="124" t="s">
        <v>1539</v>
      </c>
      <c r="F451" s="319">
        <v>43363</v>
      </c>
      <c r="G451" s="627"/>
      <c r="H451" s="631"/>
      <c r="I451" s="632"/>
      <c r="J451" s="718" t="s">
        <v>1547</v>
      </c>
      <c r="K451" s="125" t="s">
        <v>1548</v>
      </c>
      <c r="L451" s="125" t="s">
        <v>1544</v>
      </c>
      <c r="M451" s="514">
        <v>1</v>
      </c>
      <c r="N451" s="135" t="s">
        <v>17</v>
      </c>
      <c r="O451" s="235"/>
      <c r="P451" s="90">
        <f t="shared" si="34"/>
        <v>1</v>
      </c>
      <c r="Q451" s="382"/>
      <c r="R451" s="726"/>
      <c r="S451" s="383" t="s">
        <v>168</v>
      </c>
      <c r="T451" s="27"/>
      <c r="U451" s="81"/>
      <c r="V451" s="82"/>
      <c r="W451" s="81"/>
      <c r="X451" s="63"/>
      <c r="Y451" s="139"/>
      <c r="Z451" s="131"/>
      <c r="AA451" s="140"/>
      <c r="AB451" s="141"/>
      <c r="AC451" s="141"/>
    </row>
    <row r="452" spans="1:29" ht="20.25" customHeight="1">
      <c r="A452" s="359" t="s">
        <v>20</v>
      </c>
      <c r="C452" s="76"/>
      <c r="D452" s="123" t="s">
        <v>607</v>
      </c>
      <c r="E452" s="124" t="s">
        <v>1540</v>
      </c>
      <c r="F452" s="319">
        <v>43363</v>
      </c>
      <c r="G452" s="627"/>
      <c r="H452" s="631"/>
      <c r="I452" s="632"/>
      <c r="J452" s="718" t="s">
        <v>1549</v>
      </c>
      <c r="K452" s="125" t="s">
        <v>1550</v>
      </c>
      <c r="L452" s="125" t="s">
        <v>1544</v>
      </c>
      <c r="M452" s="514">
        <v>1</v>
      </c>
      <c r="N452" s="127" t="s">
        <v>17</v>
      </c>
      <c r="O452" s="235"/>
      <c r="P452" s="90">
        <f t="shared" si="34"/>
        <v>1</v>
      </c>
      <c r="Q452" s="382"/>
      <c r="R452" s="726"/>
      <c r="S452" s="383" t="s">
        <v>168</v>
      </c>
      <c r="T452" s="27"/>
      <c r="U452" s="81"/>
      <c r="V452" s="82"/>
      <c r="W452" s="81"/>
      <c r="X452" s="63"/>
      <c r="Y452" s="139"/>
      <c r="Z452" s="131"/>
      <c r="AA452" s="140"/>
      <c r="AB452" s="141"/>
      <c r="AC452" s="141"/>
    </row>
    <row r="453" spans="1:29" ht="20.25" customHeight="1">
      <c r="A453" s="359" t="s">
        <v>20</v>
      </c>
      <c r="C453" s="76"/>
      <c r="D453" s="123" t="s">
        <v>607</v>
      </c>
      <c r="E453" s="124" t="s">
        <v>1541</v>
      </c>
      <c r="F453" s="319">
        <v>43363</v>
      </c>
      <c r="G453" s="627"/>
      <c r="H453" s="631"/>
      <c r="I453" s="632"/>
      <c r="J453" s="718" t="s">
        <v>1551</v>
      </c>
      <c r="K453" s="125" t="s">
        <v>1552</v>
      </c>
      <c r="L453" s="125" t="s">
        <v>1544</v>
      </c>
      <c r="M453" s="514">
        <v>1</v>
      </c>
      <c r="N453" s="135" t="s">
        <v>17</v>
      </c>
      <c r="O453" s="235"/>
      <c r="P453" s="90">
        <f t="shared" si="34"/>
        <v>1</v>
      </c>
      <c r="Q453" s="382"/>
      <c r="R453" s="726"/>
      <c r="S453" s="383" t="s">
        <v>168</v>
      </c>
      <c r="T453" s="27"/>
      <c r="U453" s="81"/>
      <c r="V453" s="82"/>
      <c r="W453" s="81"/>
      <c r="X453" s="63"/>
      <c r="Y453" s="139"/>
      <c r="Z453" s="131"/>
      <c r="AA453" s="140"/>
      <c r="AB453" s="141"/>
      <c r="AC453" s="141"/>
    </row>
    <row r="454" spans="1:29" s="141" customFormat="1" ht="20.25" customHeight="1">
      <c r="A454" s="377" t="s">
        <v>20</v>
      </c>
      <c r="B454" s="186"/>
      <c r="C454" s="188"/>
      <c r="D454" s="123" t="s">
        <v>1690</v>
      </c>
      <c r="E454" s="124" t="s">
        <v>30</v>
      </c>
      <c r="F454" s="319">
        <v>43312</v>
      </c>
      <c r="G454" s="627"/>
      <c r="H454" s="631"/>
      <c r="I454" s="632"/>
      <c r="J454" s="517" t="s">
        <v>30</v>
      </c>
      <c r="K454" s="125" t="s">
        <v>1591</v>
      </c>
      <c r="L454" s="125"/>
      <c r="M454" s="514">
        <v>1</v>
      </c>
      <c r="N454" s="127" t="s">
        <v>268</v>
      </c>
      <c r="O454" s="235"/>
      <c r="P454" s="90">
        <f t="shared" si="34"/>
        <v>1</v>
      </c>
      <c r="Q454" s="382"/>
      <c r="R454" s="726"/>
      <c r="S454" s="383" t="s">
        <v>168</v>
      </c>
      <c r="T454" s="27"/>
      <c r="U454" s="81"/>
      <c r="V454" s="738"/>
      <c r="W454" s="744"/>
      <c r="X454" s="63"/>
      <c r="Y454" s="139"/>
      <c r="Z454" s="131"/>
      <c r="AA454" s="140"/>
    </row>
    <row r="455" spans="1:29" s="168" customFormat="1" ht="21.75" customHeight="1">
      <c r="A455" s="359" t="s">
        <v>20</v>
      </c>
      <c r="B455" s="157"/>
      <c r="C455" s="158"/>
      <c r="D455" s="85" t="s">
        <v>427</v>
      </c>
      <c r="E455" s="536" t="s">
        <v>1273</v>
      </c>
      <c r="F455" s="601">
        <v>43676</v>
      </c>
      <c r="G455" s="625"/>
      <c r="H455" s="626"/>
      <c r="I455" s="624" t="s">
        <v>2323</v>
      </c>
      <c r="J455" s="610" t="s">
        <v>2203</v>
      </c>
      <c r="K455" s="541" t="s">
        <v>2204</v>
      </c>
      <c r="L455" s="252" t="s">
        <v>6</v>
      </c>
      <c r="M455" s="602">
        <v>36</v>
      </c>
      <c r="N455" s="547" t="s">
        <v>17</v>
      </c>
      <c r="O455" s="537">
        <v>36</v>
      </c>
      <c r="P455" s="603">
        <f t="shared" si="34"/>
        <v>0</v>
      </c>
      <c r="Q455" s="283"/>
      <c r="R455" s="726" t="s">
        <v>2324</v>
      </c>
      <c r="S455" s="383">
        <v>44350</v>
      </c>
      <c r="T455" s="159"/>
      <c r="U455" s="160"/>
      <c r="V455" s="512"/>
      <c r="W455" s="160"/>
      <c r="X455" s="163"/>
      <c r="Y455" s="163"/>
      <c r="Z455" s="164"/>
      <c r="AA455" s="165"/>
      <c r="AB455" s="166"/>
      <c r="AC455" s="167"/>
    </row>
    <row r="456" spans="1:29" s="141" customFormat="1" ht="19.5" customHeight="1">
      <c r="A456" s="377" t="s">
        <v>20</v>
      </c>
      <c r="B456" s="186"/>
      <c r="C456" s="188"/>
      <c r="D456" s="123" t="s">
        <v>427</v>
      </c>
      <c r="E456" s="124" t="s">
        <v>30</v>
      </c>
      <c r="F456" s="319">
        <v>43633</v>
      </c>
      <c r="G456" s="627"/>
      <c r="H456" s="631"/>
      <c r="I456" s="632"/>
      <c r="J456" s="517" t="s">
        <v>30</v>
      </c>
      <c r="K456" s="125" t="s">
        <v>2053</v>
      </c>
      <c r="L456" s="125"/>
      <c r="M456" s="514">
        <v>1</v>
      </c>
      <c r="N456" s="127" t="s">
        <v>268</v>
      </c>
      <c r="O456" s="235"/>
      <c r="P456" s="90">
        <f t="shared" si="34"/>
        <v>1</v>
      </c>
      <c r="Q456" s="382" t="s">
        <v>2052</v>
      </c>
      <c r="R456" s="726"/>
      <c r="S456" s="383" t="s">
        <v>168</v>
      </c>
      <c r="T456" s="27"/>
      <c r="U456" s="81"/>
      <c r="V456" s="82"/>
      <c r="W456" s="81"/>
      <c r="X456" s="63"/>
      <c r="Y456" s="139"/>
      <c r="Z456" s="131"/>
      <c r="AA456" s="140"/>
    </row>
    <row r="457" spans="1:29" ht="20.25" customHeight="1">
      <c r="A457" s="359" t="s">
        <v>66</v>
      </c>
      <c r="D457" s="123" t="s">
        <v>2274</v>
      </c>
      <c r="E457" s="124" t="s">
        <v>1518</v>
      </c>
      <c r="F457" s="321" t="s">
        <v>1918</v>
      </c>
      <c r="G457" s="625"/>
      <c r="H457" s="626"/>
      <c r="I457" s="624"/>
      <c r="J457" s="506" t="s">
        <v>1921</v>
      </c>
      <c r="K457" s="125" t="s">
        <v>1520</v>
      </c>
      <c r="L457" s="133" t="s">
        <v>1521</v>
      </c>
      <c r="M457" s="370">
        <v>37</v>
      </c>
      <c r="N457" s="171" t="s">
        <v>1657</v>
      </c>
      <c r="O457" s="235">
        <v>4</v>
      </c>
      <c r="P457" s="90">
        <f t="shared" si="34"/>
        <v>33</v>
      </c>
      <c r="Q457" s="734" t="s">
        <v>1941</v>
      </c>
      <c r="R457" s="726" t="s">
        <v>2292</v>
      </c>
      <c r="S457" s="288" t="s">
        <v>1900</v>
      </c>
      <c r="T457" s="27"/>
      <c r="U457" s="81"/>
      <c r="V457" s="82"/>
      <c r="W457" s="81"/>
      <c r="X457" s="60"/>
      <c r="Y457" s="60"/>
      <c r="Z457" s="83"/>
      <c r="AA457" s="62"/>
      <c r="AB457" s="142"/>
      <c r="AC457" s="117"/>
    </row>
    <row r="458" spans="1:29" s="141" customFormat="1" ht="19.5" customHeight="1">
      <c r="A458" s="377" t="s">
        <v>20</v>
      </c>
      <c r="B458" s="186"/>
      <c r="C458" s="188"/>
      <c r="D458" s="85" t="s">
        <v>2139</v>
      </c>
      <c r="E458" s="536" t="s">
        <v>30</v>
      </c>
      <c r="F458" s="757">
        <v>43446</v>
      </c>
      <c r="G458" s="627"/>
      <c r="H458" s="631"/>
      <c r="I458" s="632" t="s">
        <v>2364</v>
      </c>
      <c r="J458" s="756" t="s">
        <v>30</v>
      </c>
      <c r="K458" s="541" t="s">
        <v>2075</v>
      </c>
      <c r="L458" s="541"/>
      <c r="M458" s="762">
        <v>1</v>
      </c>
      <c r="N458" s="547" t="s">
        <v>268</v>
      </c>
      <c r="O458" s="537">
        <v>1</v>
      </c>
      <c r="P458" s="603">
        <f t="shared" si="34"/>
        <v>0</v>
      </c>
      <c r="Q458" s="382"/>
      <c r="R458" s="726"/>
      <c r="S458" s="383" t="s">
        <v>168</v>
      </c>
      <c r="T458" s="27"/>
      <c r="U458" s="81"/>
      <c r="V458" s="82"/>
      <c r="W458" s="81"/>
      <c r="X458" s="63"/>
      <c r="Y458" s="139"/>
      <c r="Z458" s="131"/>
      <c r="AA458" s="140"/>
    </row>
    <row r="459" spans="1:29" s="141" customFormat="1" ht="19.5" customHeight="1">
      <c r="A459" s="377" t="s">
        <v>20</v>
      </c>
      <c r="B459" s="186"/>
      <c r="C459" s="188"/>
      <c r="D459" s="123" t="s">
        <v>2140</v>
      </c>
      <c r="E459" s="124" t="s">
        <v>30</v>
      </c>
      <c r="F459" s="319">
        <v>43446</v>
      </c>
      <c r="G459" s="627"/>
      <c r="H459" s="631"/>
      <c r="I459" s="632"/>
      <c r="J459" s="517" t="s">
        <v>30</v>
      </c>
      <c r="K459" s="125" t="s">
        <v>2078</v>
      </c>
      <c r="L459" s="125"/>
      <c r="M459" s="514">
        <v>1</v>
      </c>
      <c r="N459" s="127" t="s">
        <v>268</v>
      </c>
      <c r="O459" s="235"/>
      <c r="P459" s="90">
        <f t="shared" si="34"/>
        <v>1</v>
      </c>
      <c r="Q459" s="382"/>
      <c r="R459" s="726"/>
      <c r="S459" s="383" t="s">
        <v>168</v>
      </c>
      <c r="T459" s="27"/>
      <c r="U459" s="81"/>
      <c r="V459" s="82"/>
      <c r="W459" s="81"/>
      <c r="X459" s="63"/>
      <c r="Y459" s="139"/>
      <c r="Z459" s="131"/>
      <c r="AA459" s="140"/>
    </row>
    <row r="460" spans="1:29" s="168" customFormat="1" ht="21.75" customHeight="1">
      <c r="A460" s="359" t="s">
        <v>52</v>
      </c>
      <c r="B460" s="157"/>
      <c r="C460" s="158"/>
      <c r="D460" s="51" t="s">
        <v>990</v>
      </c>
      <c r="E460" s="536" t="s">
        <v>2325</v>
      </c>
      <c r="F460" s="601" t="s">
        <v>2326</v>
      </c>
      <c r="G460" s="625"/>
      <c r="H460" s="626"/>
      <c r="I460" s="624" t="s">
        <v>2331</v>
      </c>
      <c r="J460" s="610" t="s">
        <v>2327</v>
      </c>
      <c r="K460" s="541" t="s">
        <v>2328</v>
      </c>
      <c r="L460" s="252" t="s">
        <v>2329</v>
      </c>
      <c r="M460" s="602">
        <v>56</v>
      </c>
      <c r="N460" s="547" t="s">
        <v>17</v>
      </c>
      <c r="O460" s="537">
        <v>56</v>
      </c>
      <c r="P460" s="603">
        <f>IF(O460="",M460,M460-O460)</f>
        <v>0</v>
      </c>
      <c r="Q460" s="283"/>
      <c r="R460" s="726" t="s">
        <v>2332</v>
      </c>
      <c r="S460" s="383" t="s">
        <v>2330</v>
      </c>
      <c r="T460" s="159"/>
      <c r="U460" s="160"/>
      <c r="V460" s="512"/>
      <c r="W460" s="160"/>
      <c r="X460" s="163"/>
      <c r="Y460" s="163"/>
      <c r="Z460" s="164"/>
      <c r="AA460" s="165"/>
      <c r="AB460" s="166"/>
      <c r="AC460" s="167"/>
    </row>
    <row r="461" spans="1:29" ht="21.75" customHeight="1">
      <c r="A461" s="377" t="s">
        <v>28</v>
      </c>
      <c r="B461" s="186"/>
      <c r="C461" s="188"/>
      <c r="D461" s="51" t="s">
        <v>990</v>
      </c>
      <c r="E461" s="765" t="s">
        <v>2277</v>
      </c>
      <c r="F461" s="769">
        <v>43685</v>
      </c>
      <c r="G461" s="627"/>
      <c r="H461" s="627"/>
      <c r="I461" s="628"/>
      <c r="J461" s="539" t="s">
        <v>2275</v>
      </c>
      <c r="K461" s="540"/>
      <c r="L461" s="541" t="s">
        <v>2276</v>
      </c>
      <c r="M461" s="542">
        <v>1</v>
      </c>
      <c r="N461" s="547" t="s">
        <v>17</v>
      </c>
      <c r="O461" s="537">
        <v>1</v>
      </c>
      <c r="P461" s="603">
        <f t="shared" si="34"/>
        <v>0</v>
      </c>
      <c r="Q461" s="382"/>
      <c r="R461" s="726" t="s">
        <v>2306</v>
      </c>
      <c r="S461" s="383">
        <v>44702</v>
      </c>
      <c r="T461" s="27"/>
      <c r="U461" s="81"/>
      <c r="V461" s="82"/>
      <c r="W461" s="81"/>
      <c r="X461" s="63"/>
      <c r="Y461" s="139"/>
      <c r="Z461" s="131"/>
      <c r="AA461" s="140"/>
      <c r="AB461" s="141"/>
      <c r="AC461" s="141"/>
    </row>
    <row r="462" spans="1:29" ht="21.75" customHeight="1">
      <c r="A462" s="377" t="s">
        <v>20</v>
      </c>
      <c r="B462" s="186"/>
      <c r="C462" s="188"/>
      <c r="D462" s="169" t="s">
        <v>990</v>
      </c>
      <c r="E462" s="124" t="s">
        <v>137</v>
      </c>
      <c r="F462" s="378" t="s">
        <v>2100</v>
      </c>
      <c r="G462" s="627"/>
      <c r="H462" s="627"/>
      <c r="I462" s="628"/>
      <c r="J462" s="508" t="s">
        <v>2142</v>
      </c>
      <c r="K462" s="379" t="s">
        <v>292</v>
      </c>
      <c r="L462" s="125" t="s">
        <v>10</v>
      </c>
      <c r="M462" s="380">
        <v>1</v>
      </c>
      <c r="N462" s="236" t="s">
        <v>17</v>
      </c>
      <c r="O462" s="235"/>
      <c r="P462" s="90">
        <f t="shared" si="34"/>
        <v>1</v>
      </c>
      <c r="Q462" s="382" t="s">
        <v>2148</v>
      </c>
      <c r="R462" s="726"/>
      <c r="S462" s="383" t="s">
        <v>2143</v>
      </c>
      <c r="T462" s="27"/>
      <c r="U462" s="81"/>
      <c r="V462" s="82"/>
      <c r="W462" s="81"/>
      <c r="X462" s="63"/>
      <c r="Y462" s="139"/>
      <c r="Z462" s="131"/>
      <c r="AA462" s="140"/>
      <c r="AB462" s="141"/>
      <c r="AC462" s="141"/>
    </row>
    <row r="463" spans="1:29" ht="21.75" customHeight="1">
      <c r="A463" s="377" t="s">
        <v>28</v>
      </c>
      <c r="B463" s="186"/>
      <c r="C463" s="188"/>
      <c r="D463" s="169" t="s">
        <v>990</v>
      </c>
      <c r="E463" s="124" t="s">
        <v>1678</v>
      </c>
      <c r="F463" s="378">
        <v>43657</v>
      </c>
      <c r="G463" s="627"/>
      <c r="H463" s="627"/>
      <c r="I463" s="628"/>
      <c r="J463" s="508" t="s">
        <v>779</v>
      </c>
      <c r="K463" s="379"/>
      <c r="L463" s="125" t="s">
        <v>1679</v>
      </c>
      <c r="M463" s="380">
        <v>0.75</v>
      </c>
      <c r="N463" s="236" t="s">
        <v>17</v>
      </c>
      <c r="O463" s="235"/>
      <c r="P463" s="90">
        <f t="shared" si="34"/>
        <v>0.75</v>
      </c>
      <c r="Q463" s="382" t="s">
        <v>2129</v>
      </c>
      <c r="R463" s="726"/>
      <c r="S463" s="383" t="s">
        <v>168</v>
      </c>
      <c r="T463" s="27"/>
      <c r="U463" s="81"/>
      <c r="V463" s="82"/>
      <c r="W463" s="81"/>
      <c r="X463" s="63"/>
      <c r="Y463" s="139"/>
      <c r="Z463" s="131"/>
      <c r="AA463" s="140"/>
      <c r="AB463" s="141"/>
      <c r="AC463" s="141"/>
    </row>
    <row r="464" spans="1:29" ht="21.75" customHeight="1">
      <c r="A464" s="377" t="s">
        <v>20</v>
      </c>
      <c r="B464" s="186"/>
      <c r="C464" s="188"/>
      <c r="D464" s="169" t="s">
        <v>990</v>
      </c>
      <c r="E464" s="124" t="s">
        <v>2111</v>
      </c>
      <c r="F464" s="378" t="s">
        <v>2100</v>
      </c>
      <c r="G464" s="627"/>
      <c r="H464" s="627"/>
      <c r="I464" s="628"/>
      <c r="J464" s="508" t="s">
        <v>2112</v>
      </c>
      <c r="K464" s="379" t="s">
        <v>2113</v>
      </c>
      <c r="L464" s="125" t="s">
        <v>158</v>
      </c>
      <c r="M464" s="380">
        <v>0.98</v>
      </c>
      <c r="N464" s="236" t="s">
        <v>17</v>
      </c>
      <c r="O464" s="235"/>
      <c r="P464" s="90">
        <f t="shared" si="34"/>
        <v>0.98</v>
      </c>
      <c r="Q464" s="382" t="s">
        <v>2114</v>
      </c>
      <c r="R464" s="726"/>
      <c r="S464" s="383" t="s">
        <v>168</v>
      </c>
      <c r="T464" s="27"/>
      <c r="U464" s="81"/>
      <c r="V464" s="82"/>
      <c r="W464" s="81"/>
      <c r="X464" s="63"/>
      <c r="Y464" s="139"/>
      <c r="Z464" s="131"/>
      <c r="AA464" s="140"/>
      <c r="AB464" s="141"/>
      <c r="AC464" s="141"/>
    </row>
    <row r="465" spans="1:29" ht="20.25" customHeight="1">
      <c r="A465" s="377" t="s">
        <v>28</v>
      </c>
      <c r="B465" s="186"/>
      <c r="C465" s="188"/>
      <c r="D465" s="169" t="s">
        <v>990</v>
      </c>
      <c r="E465" s="233" t="s">
        <v>2108</v>
      </c>
      <c r="F465" s="319" t="s">
        <v>2100</v>
      </c>
      <c r="G465" s="629"/>
      <c r="H465" s="630"/>
      <c r="I465" s="624"/>
      <c r="J465" s="509" t="s">
        <v>2105</v>
      </c>
      <c r="K465" s="255" t="s">
        <v>2106</v>
      </c>
      <c r="L465" s="3" t="s">
        <v>2107</v>
      </c>
      <c r="M465" s="369">
        <v>0.60000000000000009</v>
      </c>
      <c r="N465" s="127" t="s">
        <v>17</v>
      </c>
      <c r="O465" s="235"/>
      <c r="P465" s="90">
        <f t="shared" si="34"/>
        <v>0.60000000000000009</v>
      </c>
      <c r="Q465" s="283"/>
      <c r="R465" s="726"/>
      <c r="S465" s="288" t="s">
        <v>2104</v>
      </c>
      <c r="V465" s="737"/>
      <c r="W465" s="737"/>
      <c r="X465" s="256"/>
      <c r="Y465" s="63"/>
      <c r="Z465" s="257"/>
      <c r="AA465" s="65"/>
      <c r="AB465"/>
      <c r="AC465"/>
    </row>
    <row r="466" spans="1:29" ht="19.5" customHeight="1">
      <c r="A466" s="359" t="s">
        <v>20</v>
      </c>
      <c r="D466" s="169" t="s">
        <v>990</v>
      </c>
      <c r="E466" s="124" t="s">
        <v>662</v>
      </c>
      <c r="F466" s="323"/>
      <c r="G466" s="627"/>
      <c r="H466" s="631"/>
      <c r="I466" s="624"/>
      <c r="J466" s="506" t="s">
        <v>663</v>
      </c>
      <c r="K466" s="125" t="s">
        <v>664</v>
      </c>
      <c r="L466" s="133" t="s">
        <v>1160</v>
      </c>
      <c r="M466" s="368">
        <v>1</v>
      </c>
      <c r="N466" s="259" t="s">
        <v>1160</v>
      </c>
      <c r="O466" s="235"/>
      <c r="P466" s="90">
        <f t="shared" si="34"/>
        <v>1</v>
      </c>
      <c r="Q466" s="271"/>
      <c r="R466" s="726"/>
      <c r="S466" s="288" t="s">
        <v>168</v>
      </c>
      <c r="T466" s="54"/>
      <c r="U466" s="73"/>
      <c r="V466" s="74"/>
      <c r="W466" s="73"/>
      <c r="X466" s="66"/>
      <c r="Y466" s="66"/>
      <c r="Z466" s="67"/>
      <c r="AA466" s="68"/>
      <c r="AB466" s="144"/>
      <c r="AC466" s="117"/>
    </row>
    <row r="467" spans="1:29" ht="19.5" customHeight="1">
      <c r="A467" s="359" t="s">
        <v>28</v>
      </c>
      <c r="D467" s="169" t="s">
        <v>990</v>
      </c>
      <c r="E467" s="124" t="s">
        <v>231</v>
      </c>
      <c r="F467" s="310">
        <v>42107</v>
      </c>
      <c r="G467" s="635"/>
      <c r="H467" s="636"/>
      <c r="I467" s="624"/>
      <c r="J467" s="506" t="s">
        <v>429</v>
      </c>
      <c r="K467" s="125" t="s">
        <v>232</v>
      </c>
      <c r="L467" s="133"/>
      <c r="M467" s="370">
        <v>9</v>
      </c>
      <c r="N467" s="259" t="s">
        <v>1160</v>
      </c>
      <c r="O467" s="235"/>
      <c r="P467" s="90">
        <f t="shared" ref="P467" si="36">IF(O467="",M467,M467-O467)</f>
        <v>9</v>
      </c>
      <c r="Q467" s="326"/>
      <c r="R467" s="726"/>
      <c r="S467" s="553" t="s">
        <v>1558</v>
      </c>
      <c r="T467" s="35"/>
      <c r="U467" s="1"/>
      <c r="V467" s="50"/>
      <c r="W467" s="50"/>
      <c r="X467" s="63">
        <v>18</v>
      </c>
      <c r="Y467" s="63"/>
      <c r="Z467" s="64"/>
      <c r="AA467" s="65"/>
      <c r="AB467" s="142"/>
      <c r="AC467" s="117"/>
    </row>
    <row r="468" spans="1:29" s="141" customFormat="1" ht="20.25" customHeight="1">
      <c r="A468" s="377" t="s">
        <v>20</v>
      </c>
      <c r="B468" s="186"/>
      <c r="C468" s="188"/>
      <c r="D468" s="729" t="s">
        <v>990</v>
      </c>
      <c r="E468" s="124" t="s">
        <v>1923</v>
      </c>
      <c r="F468" s="319" t="s">
        <v>1902</v>
      </c>
      <c r="G468" s="627"/>
      <c r="H468" s="631"/>
      <c r="I468" s="632"/>
      <c r="J468" s="517" t="s">
        <v>1924</v>
      </c>
      <c r="K468" s="125" t="s">
        <v>1925</v>
      </c>
      <c r="L468" s="125" t="s">
        <v>1971</v>
      </c>
      <c r="M468" s="710">
        <v>23</v>
      </c>
      <c r="N468" s="259" t="s">
        <v>1134</v>
      </c>
      <c r="O468" s="235"/>
      <c r="P468" s="90">
        <f t="shared" ref="P468:P514" si="37">IF(O468="",M468,M468-O468)</f>
        <v>23</v>
      </c>
      <c r="Q468" s="382"/>
      <c r="R468" s="726"/>
      <c r="S468" s="383" t="s">
        <v>1846</v>
      </c>
      <c r="T468" s="27"/>
      <c r="U468" s="81"/>
      <c r="V468" s="82"/>
      <c r="W468" s="81"/>
      <c r="X468" s="63"/>
      <c r="Y468" s="139"/>
      <c r="Z468" s="131"/>
      <c r="AA468" s="140"/>
    </row>
    <row r="469" spans="1:29" s="168" customFormat="1" ht="18.75" customHeight="1">
      <c r="A469" s="377" t="s">
        <v>20</v>
      </c>
      <c r="B469" s="157"/>
      <c r="C469" s="158"/>
      <c r="D469" s="169" t="s">
        <v>990</v>
      </c>
      <c r="E469" s="124" t="s">
        <v>1879</v>
      </c>
      <c r="F469" s="320" t="s">
        <v>1883</v>
      </c>
      <c r="G469" s="625"/>
      <c r="H469" s="626"/>
      <c r="I469" s="624"/>
      <c r="J469" s="506" t="s">
        <v>1880</v>
      </c>
      <c r="K469" s="125" t="s">
        <v>1881</v>
      </c>
      <c r="L469" s="133" t="s">
        <v>293</v>
      </c>
      <c r="M469" s="370">
        <v>2</v>
      </c>
      <c r="N469" s="171" t="s">
        <v>1781</v>
      </c>
      <c r="O469" s="235"/>
      <c r="P469" s="90">
        <f t="shared" si="37"/>
        <v>2</v>
      </c>
      <c r="Q469" s="606" t="s">
        <v>1885</v>
      </c>
      <c r="R469" s="726"/>
      <c r="S469" s="277"/>
      <c r="T469" s="159"/>
      <c r="U469" s="160"/>
      <c r="V469" s="161"/>
      <c r="W469" s="162"/>
      <c r="X469" s="163"/>
      <c r="Y469" s="163"/>
      <c r="Z469" s="164"/>
      <c r="AA469" s="165"/>
      <c r="AB469" s="166"/>
      <c r="AC469" s="167"/>
    </row>
    <row r="470" spans="1:29" s="168" customFormat="1" ht="18.75" customHeight="1">
      <c r="A470" s="359" t="s">
        <v>28</v>
      </c>
      <c r="B470" s="157"/>
      <c r="C470" s="158"/>
      <c r="D470" s="169" t="s">
        <v>990</v>
      </c>
      <c r="E470" s="124" t="s">
        <v>1809</v>
      </c>
      <c r="F470" s="320">
        <v>43193</v>
      </c>
      <c r="G470" s="625"/>
      <c r="H470" s="626"/>
      <c r="I470" s="624"/>
      <c r="J470" s="506" t="s">
        <v>1810</v>
      </c>
      <c r="K470" s="125" t="s">
        <v>1811</v>
      </c>
      <c r="L470" s="133" t="s">
        <v>1579</v>
      </c>
      <c r="M470" s="370">
        <v>1</v>
      </c>
      <c r="N470" s="171" t="s">
        <v>17</v>
      </c>
      <c r="O470" s="235"/>
      <c r="P470" s="90">
        <f t="shared" si="37"/>
        <v>1</v>
      </c>
      <c r="Q470" s="283"/>
      <c r="R470" s="726"/>
      <c r="S470" s="550" t="s">
        <v>1826</v>
      </c>
      <c r="T470" s="159"/>
      <c r="U470" s="160"/>
      <c r="V470" s="512"/>
      <c r="W470" s="160"/>
      <c r="X470" s="163"/>
      <c r="Y470" s="163"/>
      <c r="Z470" s="164"/>
      <c r="AA470" s="165"/>
      <c r="AB470" s="166"/>
      <c r="AC470" s="167"/>
    </row>
    <row r="471" spans="1:29" s="168" customFormat="1" ht="18.75" customHeight="1">
      <c r="A471" s="359" t="s">
        <v>28</v>
      </c>
      <c r="B471" s="157"/>
      <c r="C471" s="158"/>
      <c r="D471" s="169" t="s">
        <v>990</v>
      </c>
      <c r="E471" s="124" t="s">
        <v>1813</v>
      </c>
      <c r="F471" s="320">
        <v>43193</v>
      </c>
      <c r="G471" s="625"/>
      <c r="H471" s="626"/>
      <c r="I471" s="624"/>
      <c r="J471" s="506" t="s">
        <v>1578</v>
      </c>
      <c r="K471" s="125" t="s">
        <v>952</v>
      </c>
      <c r="L471" s="133" t="s">
        <v>1579</v>
      </c>
      <c r="M471" s="370">
        <v>1</v>
      </c>
      <c r="N471" s="171" t="s">
        <v>17</v>
      </c>
      <c r="O471" s="235"/>
      <c r="P471" s="90">
        <f t="shared" si="37"/>
        <v>1</v>
      </c>
      <c r="Q471" s="283"/>
      <c r="R471" s="726"/>
      <c r="S471" s="550" t="s">
        <v>1827</v>
      </c>
      <c r="T471" s="159"/>
      <c r="U471" s="160"/>
      <c r="V471" s="512"/>
      <c r="W471" s="160"/>
      <c r="X471" s="163"/>
      <c r="Y471" s="163"/>
      <c r="Z471" s="164"/>
      <c r="AA471" s="165"/>
      <c r="AB471" s="166"/>
      <c r="AC471" s="167"/>
    </row>
    <row r="472" spans="1:29" s="203" customFormat="1" ht="21" customHeight="1">
      <c r="A472" s="359" t="s">
        <v>66</v>
      </c>
      <c r="B472" s="194"/>
      <c r="C472" s="202" t="str">
        <f>K$2</f>
        <v>10/08/2019</v>
      </c>
      <c r="D472" s="249" t="s">
        <v>990</v>
      </c>
      <c r="E472" s="233" t="s">
        <v>773</v>
      </c>
      <c r="F472" s="319">
        <v>42894</v>
      </c>
      <c r="G472" s="629"/>
      <c r="H472" s="630"/>
      <c r="I472" s="624"/>
      <c r="J472" s="509" t="s">
        <v>774</v>
      </c>
      <c r="K472" s="255" t="s">
        <v>775</v>
      </c>
      <c r="L472" s="3" t="s">
        <v>776</v>
      </c>
      <c r="M472" s="369">
        <v>1</v>
      </c>
      <c r="N472" s="236" t="s">
        <v>17</v>
      </c>
      <c r="O472" s="235"/>
      <c r="P472" s="90">
        <f t="shared" si="37"/>
        <v>1</v>
      </c>
      <c r="Q472" s="283"/>
      <c r="R472" s="726"/>
      <c r="S472" s="276">
        <v>43125</v>
      </c>
      <c r="T472"/>
      <c r="U472"/>
      <c r="V472" s="341"/>
      <c r="W472" s="348"/>
      <c r="X472" s="256"/>
      <c r="Y472" s="63"/>
      <c r="Z472" s="257"/>
      <c r="AA472" s="65">
        <v>930</v>
      </c>
      <c r="AB472"/>
      <c r="AC472"/>
    </row>
    <row r="473" spans="1:29" s="53" customFormat="1" ht="20.25" customHeight="1">
      <c r="A473" s="359" t="s">
        <v>52</v>
      </c>
      <c r="C473" s="84"/>
      <c r="D473" s="249" t="s">
        <v>990</v>
      </c>
      <c r="E473" s="124" t="s">
        <v>584</v>
      </c>
      <c r="F473" s="323">
        <v>42948</v>
      </c>
      <c r="G473" s="627"/>
      <c r="H473" s="631"/>
      <c r="I473" s="624"/>
      <c r="J473" s="506" t="s">
        <v>585</v>
      </c>
      <c r="K473" s="125" t="s">
        <v>586</v>
      </c>
      <c r="L473" s="133" t="s">
        <v>765</v>
      </c>
      <c r="M473" s="368">
        <v>1</v>
      </c>
      <c r="N473" s="513" t="s">
        <v>1134</v>
      </c>
      <c r="O473" s="235"/>
      <c r="P473" s="90">
        <f t="shared" si="37"/>
        <v>1</v>
      </c>
      <c r="Q473" s="271"/>
      <c r="R473" s="726"/>
      <c r="S473" s="288" t="s">
        <v>168</v>
      </c>
      <c r="T473" s="54"/>
      <c r="U473" s="73"/>
      <c r="V473" s="702"/>
      <c r="W473" s="703"/>
      <c r="X473" s="66"/>
      <c r="Y473" s="66">
        <v>34</v>
      </c>
      <c r="Z473" s="67"/>
      <c r="AA473" s="68"/>
      <c r="AB473" s="142"/>
      <c r="AC473" s="117"/>
    </row>
    <row r="474" spans="1:29" ht="20.25" customHeight="1">
      <c r="A474" s="377" t="s">
        <v>52</v>
      </c>
      <c r="B474" s="186"/>
      <c r="C474" s="188"/>
      <c r="D474" s="249" t="s">
        <v>990</v>
      </c>
      <c r="E474" s="124"/>
      <c r="F474" s="319">
        <v>43361</v>
      </c>
      <c r="G474" s="627"/>
      <c r="H474" s="631"/>
      <c r="I474" s="632"/>
      <c r="J474" s="718" t="s">
        <v>1487</v>
      </c>
      <c r="K474" s="125"/>
      <c r="L474" s="125"/>
      <c r="M474" s="514">
        <v>1</v>
      </c>
      <c r="N474" s="236" t="s">
        <v>18</v>
      </c>
      <c r="O474" s="235"/>
      <c r="P474" s="90">
        <f t="shared" si="37"/>
        <v>1</v>
      </c>
      <c r="Q474" s="328"/>
      <c r="R474" s="726"/>
      <c r="S474" s="383" t="s">
        <v>168</v>
      </c>
      <c r="T474" s="27"/>
      <c r="U474" s="81"/>
      <c r="V474" s="82"/>
      <c r="W474" s="81"/>
      <c r="X474" s="63"/>
      <c r="Y474" s="139"/>
      <c r="Z474" s="131"/>
      <c r="AA474" s="140"/>
      <c r="AB474" s="141"/>
      <c r="AC474" s="141"/>
    </row>
    <row r="475" spans="1:29" ht="20.25" customHeight="1">
      <c r="A475" s="359" t="s">
        <v>20</v>
      </c>
      <c r="B475" s="186"/>
      <c r="C475" s="188"/>
      <c r="D475" s="249" t="s">
        <v>990</v>
      </c>
      <c r="E475" s="124" t="s">
        <v>305</v>
      </c>
      <c r="F475" s="319">
        <v>43363</v>
      </c>
      <c r="G475" s="627"/>
      <c r="H475" s="631"/>
      <c r="I475" s="632"/>
      <c r="J475" s="718" t="s">
        <v>306</v>
      </c>
      <c r="K475" s="125" t="s">
        <v>307</v>
      </c>
      <c r="L475" s="125" t="s">
        <v>308</v>
      </c>
      <c r="M475" s="545">
        <v>1</v>
      </c>
      <c r="N475" s="127" t="s">
        <v>17</v>
      </c>
      <c r="O475" s="235"/>
      <c r="P475" s="90">
        <f t="shared" si="37"/>
        <v>1</v>
      </c>
      <c r="Q475" s="551" t="s">
        <v>1843</v>
      </c>
      <c r="R475" s="726"/>
      <c r="S475" s="383">
        <v>43473</v>
      </c>
      <c r="T475" s="27"/>
      <c r="U475" s="81"/>
      <c r="V475" s="738"/>
      <c r="W475" s="744"/>
      <c r="X475" s="63"/>
      <c r="Y475" s="139"/>
      <c r="Z475" s="131"/>
      <c r="AA475" s="140"/>
      <c r="AB475" s="141"/>
      <c r="AC475" s="141"/>
    </row>
    <row r="476" spans="1:29" ht="20.25" customHeight="1">
      <c r="A476" s="359" t="s">
        <v>20</v>
      </c>
      <c r="B476" s="186"/>
      <c r="C476" s="188"/>
      <c r="D476" s="249" t="s">
        <v>990</v>
      </c>
      <c r="E476" s="124" t="s">
        <v>305</v>
      </c>
      <c r="F476" s="319">
        <v>43367</v>
      </c>
      <c r="G476" s="627"/>
      <c r="H476" s="631"/>
      <c r="I476" s="632"/>
      <c r="J476" s="718" t="s">
        <v>306</v>
      </c>
      <c r="K476" s="125" t="s">
        <v>307</v>
      </c>
      <c r="L476" s="125" t="s">
        <v>308</v>
      </c>
      <c r="M476" s="545">
        <v>1</v>
      </c>
      <c r="N476" s="127" t="s">
        <v>17</v>
      </c>
      <c r="O476" s="235"/>
      <c r="P476" s="90">
        <f t="shared" si="37"/>
        <v>1</v>
      </c>
      <c r="Q476" s="382" t="s">
        <v>1844</v>
      </c>
      <c r="R476" s="726"/>
      <c r="S476" s="553" t="s">
        <v>1558</v>
      </c>
      <c r="T476" s="27"/>
      <c r="U476" s="81"/>
      <c r="V476" s="738"/>
      <c r="W476" s="744"/>
      <c r="X476" s="63"/>
      <c r="Y476" s="139"/>
      <c r="Z476" s="131"/>
      <c r="AA476" s="140"/>
      <c r="AB476" s="141"/>
      <c r="AC476" s="141"/>
    </row>
    <row r="477" spans="1:29" s="141" customFormat="1" ht="20.25" customHeight="1">
      <c r="A477" s="359" t="s">
        <v>20</v>
      </c>
      <c r="C477" s="122"/>
      <c r="D477" s="249" t="s">
        <v>990</v>
      </c>
      <c r="E477" s="124"/>
      <c r="F477" s="323"/>
      <c r="G477" s="627"/>
      <c r="H477" s="631"/>
      <c r="I477" s="639"/>
      <c r="J477" s="517" t="s">
        <v>736</v>
      </c>
      <c r="K477" s="125"/>
      <c r="L477" s="133"/>
      <c r="M477" s="368">
        <v>1</v>
      </c>
      <c r="N477" s="259" t="s">
        <v>1160</v>
      </c>
      <c r="O477" s="235"/>
      <c r="P477" s="90">
        <f t="shared" si="37"/>
        <v>1</v>
      </c>
      <c r="Q477" s="271"/>
      <c r="R477" s="726"/>
      <c r="S477" s="288" t="s">
        <v>168</v>
      </c>
      <c r="T477" s="54"/>
      <c r="U477" s="73"/>
      <c r="V477" s="74"/>
      <c r="W477" s="73"/>
      <c r="X477" s="66"/>
      <c r="Y477" s="66"/>
      <c r="Z477" s="67"/>
      <c r="AA477" s="68"/>
      <c r="AB477" s="144"/>
      <c r="AC477" s="117"/>
    </row>
    <row r="478" spans="1:29" ht="20.25" customHeight="1">
      <c r="A478" s="359" t="s">
        <v>20</v>
      </c>
      <c r="D478" s="249" t="s">
        <v>990</v>
      </c>
      <c r="E478" s="124" t="s">
        <v>1417</v>
      </c>
      <c r="F478" s="323">
        <v>42346</v>
      </c>
      <c r="G478" s="627"/>
      <c r="H478" s="631"/>
      <c r="I478" s="624"/>
      <c r="J478" s="517" t="s">
        <v>1418</v>
      </c>
      <c r="K478" s="125" t="s">
        <v>356</v>
      </c>
      <c r="L478" s="133" t="s">
        <v>1419</v>
      </c>
      <c r="M478" s="368">
        <v>2</v>
      </c>
      <c r="N478" s="127" t="s">
        <v>17</v>
      </c>
      <c r="O478" s="235"/>
      <c r="P478" s="90">
        <f t="shared" si="37"/>
        <v>2</v>
      </c>
      <c r="Q478" s="326"/>
      <c r="R478" s="726"/>
      <c r="S478" s="288" t="s">
        <v>168</v>
      </c>
      <c r="T478" s="27"/>
      <c r="U478" s="11"/>
      <c r="V478" s="57"/>
      <c r="W478" s="11"/>
      <c r="X478" s="69"/>
      <c r="Y478" s="59"/>
      <c r="Z478" s="70">
        <v>3430</v>
      </c>
      <c r="AA478" s="71"/>
      <c r="AB478" s="142"/>
      <c r="AC478" s="117"/>
    </row>
    <row r="479" spans="1:29" ht="20.25" customHeight="1">
      <c r="A479" s="359" t="s">
        <v>71</v>
      </c>
      <c r="D479" s="249" t="s">
        <v>990</v>
      </c>
      <c r="E479" s="124" t="s">
        <v>1417</v>
      </c>
      <c r="F479" s="323">
        <v>42592</v>
      </c>
      <c r="G479" s="627"/>
      <c r="H479" s="631"/>
      <c r="I479" s="624"/>
      <c r="J479" s="517" t="s">
        <v>1418</v>
      </c>
      <c r="K479" s="125" t="s">
        <v>356</v>
      </c>
      <c r="L479" s="133" t="s">
        <v>1420</v>
      </c>
      <c r="M479" s="368">
        <v>2</v>
      </c>
      <c r="N479" s="127" t="s">
        <v>17</v>
      </c>
      <c r="O479" s="235"/>
      <c r="P479" s="90">
        <f t="shared" si="37"/>
        <v>2</v>
      </c>
      <c r="Q479" s="326"/>
      <c r="R479" s="726"/>
      <c r="S479" s="288" t="s">
        <v>168</v>
      </c>
      <c r="T479" s="27"/>
      <c r="U479" s="11"/>
      <c r="V479" s="749"/>
      <c r="W479" s="751"/>
      <c r="X479" s="69"/>
      <c r="Y479" s="59"/>
      <c r="Z479" s="70">
        <v>34300</v>
      </c>
      <c r="AA479" s="71"/>
      <c r="AB479" s="142"/>
      <c r="AC479" s="117"/>
    </row>
    <row r="480" spans="1:29" s="203" customFormat="1" ht="21" customHeight="1">
      <c r="A480" s="359" t="s">
        <v>20</v>
      </c>
      <c r="B480" s="194"/>
      <c r="C480" s="202"/>
      <c r="D480" s="15" t="s">
        <v>837</v>
      </c>
      <c r="E480" s="124" t="s">
        <v>132</v>
      </c>
      <c r="F480" s="320">
        <v>43425</v>
      </c>
      <c r="G480" s="627"/>
      <c r="H480" s="631"/>
      <c r="I480" s="624"/>
      <c r="J480" s="506" t="s">
        <v>133</v>
      </c>
      <c r="K480" s="125" t="s">
        <v>134</v>
      </c>
      <c r="L480" s="133" t="s">
        <v>2237</v>
      </c>
      <c r="M480" s="370">
        <v>2</v>
      </c>
      <c r="N480" s="236" t="s">
        <v>1368</v>
      </c>
      <c r="O480" s="235"/>
      <c r="P480" s="90">
        <f>IF(O480="",M480,M480-O480)</f>
        <v>2</v>
      </c>
      <c r="Q480" s="283" t="s">
        <v>1590</v>
      </c>
      <c r="R480" s="726"/>
      <c r="S480" s="553" t="s">
        <v>1558</v>
      </c>
      <c r="T480"/>
      <c r="U480"/>
      <c r="V480" s="341"/>
      <c r="W480" s="348"/>
      <c r="X480" s="256"/>
      <c r="Y480" s="63"/>
      <c r="Z480" s="257">
        <f>480000/75</f>
        <v>6400</v>
      </c>
      <c r="AA480" s="65"/>
      <c r="AB480"/>
      <c r="AC480"/>
    </row>
    <row r="481" spans="1:29" s="203" customFormat="1" ht="21" customHeight="1">
      <c r="A481" s="359" t="s">
        <v>20</v>
      </c>
      <c r="B481" s="194"/>
      <c r="C481" s="202" t="str">
        <f>K$2</f>
        <v>10/08/2019</v>
      </c>
      <c r="D481" s="169" t="s">
        <v>836</v>
      </c>
      <c r="E481" s="233" t="s">
        <v>909</v>
      </c>
      <c r="F481" s="319">
        <v>43124</v>
      </c>
      <c r="G481" s="629"/>
      <c r="H481" s="630"/>
      <c r="I481" s="624"/>
      <c r="J481" s="509" t="s">
        <v>910</v>
      </c>
      <c r="K481" s="255" t="s">
        <v>911</v>
      </c>
      <c r="L481" s="3" t="s">
        <v>599</v>
      </c>
      <c r="M481" s="369">
        <v>1</v>
      </c>
      <c r="N481" s="236" t="s">
        <v>1368</v>
      </c>
      <c r="O481" s="235"/>
      <c r="P481" s="90">
        <f t="shared" ref="P481:P483" si="38">IF(O481="",M481,M481-O481)</f>
        <v>1</v>
      </c>
      <c r="Q481" s="326" t="s">
        <v>1369</v>
      </c>
      <c r="R481" s="726"/>
      <c r="S481" s="276">
        <v>43385</v>
      </c>
      <c r="T481"/>
      <c r="U481"/>
      <c r="V481" s="341"/>
      <c r="W481" s="348"/>
      <c r="X481" s="256"/>
      <c r="Y481" s="63"/>
      <c r="Z481" s="257"/>
      <c r="AA481" s="65"/>
      <c r="AB481"/>
      <c r="AC481"/>
    </row>
    <row r="482" spans="1:29" s="168" customFormat="1" ht="18.75" customHeight="1">
      <c r="A482" s="359" t="s">
        <v>20</v>
      </c>
      <c r="B482" s="157"/>
      <c r="C482" s="158"/>
      <c r="D482" s="169" t="s">
        <v>836</v>
      </c>
      <c r="E482" s="124" t="s">
        <v>2240</v>
      </c>
      <c r="F482" s="320"/>
      <c r="G482" s="625"/>
      <c r="H482" s="626"/>
      <c r="I482" s="624"/>
      <c r="J482" s="506" t="s">
        <v>2242</v>
      </c>
      <c r="K482" s="125" t="s">
        <v>2241</v>
      </c>
      <c r="L482" s="133" t="s">
        <v>14</v>
      </c>
      <c r="M482" s="370">
        <v>9</v>
      </c>
      <c r="N482" s="236" t="s">
        <v>14</v>
      </c>
      <c r="O482" s="235"/>
      <c r="P482" s="90">
        <f t="shared" si="38"/>
        <v>9</v>
      </c>
      <c r="Q482" s="283" t="s">
        <v>1261</v>
      </c>
      <c r="R482" s="726"/>
      <c r="S482" s="277" t="s">
        <v>1978</v>
      </c>
      <c r="T482" s="159"/>
      <c r="U482" s="160"/>
      <c r="V482" s="161"/>
      <c r="W482" s="162"/>
      <c r="X482" s="163"/>
      <c r="Y482" s="163"/>
      <c r="Z482" s="164"/>
      <c r="AA482" s="165"/>
      <c r="AB482" s="166"/>
      <c r="AC482" s="167"/>
    </row>
    <row r="483" spans="1:29" s="168" customFormat="1" ht="18.75" customHeight="1">
      <c r="A483" s="359" t="s">
        <v>20</v>
      </c>
      <c r="B483" s="157"/>
      <c r="C483" s="158"/>
      <c r="D483" s="169" t="s">
        <v>836</v>
      </c>
      <c r="E483" s="124" t="s">
        <v>2240</v>
      </c>
      <c r="F483" s="320"/>
      <c r="G483" s="625"/>
      <c r="H483" s="626"/>
      <c r="I483" s="624"/>
      <c r="J483" s="506" t="s">
        <v>2243</v>
      </c>
      <c r="K483" s="125" t="s">
        <v>2241</v>
      </c>
      <c r="L483" s="133" t="s">
        <v>14</v>
      </c>
      <c r="M483" s="370">
        <v>8</v>
      </c>
      <c r="N483" s="236" t="s">
        <v>14</v>
      </c>
      <c r="O483" s="235"/>
      <c r="P483" s="90">
        <f t="shared" si="38"/>
        <v>8</v>
      </c>
      <c r="Q483" s="283" t="s">
        <v>1261</v>
      </c>
      <c r="R483" s="726"/>
      <c r="S483" s="277" t="s">
        <v>1978</v>
      </c>
      <c r="T483" s="159"/>
      <c r="U483" s="160"/>
      <c r="V483" s="161"/>
      <c r="W483" s="162"/>
      <c r="X483" s="163"/>
      <c r="Y483" s="163"/>
      <c r="Z483" s="164"/>
      <c r="AA483" s="165"/>
      <c r="AB483" s="166"/>
      <c r="AC483" s="167"/>
    </row>
    <row r="484" spans="1:29" ht="20.25" customHeight="1">
      <c r="A484" s="359" t="s">
        <v>71</v>
      </c>
      <c r="B484" s="194"/>
      <c r="C484" s="202"/>
      <c r="D484" s="169" t="s">
        <v>836</v>
      </c>
      <c r="E484" s="124" t="s">
        <v>172</v>
      </c>
      <c r="F484" s="320">
        <v>41885</v>
      </c>
      <c r="G484" s="627"/>
      <c r="H484" s="631"/>
      <c r="I484" s="624"/>
      <c r="J484" s="506" t="s">
        <v>400</v>
      </c>
      <c r="K484" s="125" t="s">
        <v>173</v>
      </c>
      <c r="L484" s="133" t="s">
        <v>7</v>
      </c>
      <c r="M484" s="369">
        <v>13</v>
      </c>
      <c r="N484" s="236" t="s">
        <v>18</v>
      </c>
      <c r="O484" s="235"/>
      <c r="P484" s="90">
        <f t="shared" si="37"/>
        <v>13</v>
      </c>
      <c r="Q484" s="283" t="s">
        <v>1156</v>
      </c>
      <c r="R484" s="726"/>
      <c r="S484" s="276">
        <v>41994</v>
      </c>
      <c r="T484" s="27"/>
      <c r="U484" s="8"/>
      <c r="V484" s="345"/>
      <c r="W484" s="352"/>
      <c r="X484" s="63"/>
      <c r="Y484" s="63"/>
      <c r="Z484" s="64"/>
      <c r="AA484" s="65"/>
      <c r="AB484"/>
      <c r="AC484"/>
    </row>
    <row r="485" spans="1:29" s="203" customFormat="1" ht="21" customHeight="1">
      <c r="A485" s="359" t="s">
        <v>20</v>
      </c>
      <c r="B485" s="194"/>
      <c r="C485" s="202"/>
      <c r="D485" s="169" t="s">
        <v>836</v>
      </c>
      <c r="E485" s="233" t="s">
        <v>2238</v>
      </c>
      <c r="F485" s="319"/>
      <c r="G485" s="629"/>
      <c r="H485" s="630"/>
      <c r="I485" s="624"/>
      <c r="J485" s="509" t="s">
        <v>2244</v>
      </c>
      <c r="K485" s="255" t="s">
        <v>1060</v>
      </c>
      <c r="L485" s="3" t="s">
        <v>2239</v>
      </c>
      <c r="M485" s="369">
        <v>1</v>
      </c>
      <c r="N485" s="236" t="s">
        <v>1368</v>
      </c>
      <c r="O485" s="235"/>
      <c r="P485" s="90">
        <f t="shared" ref="P485" si="39">IF(O485="",M485,M485-O485)</f>
        <v>1</v>
      </c>
      <c r="Q485" s="283" t="s">
        <v>1261</v>
      </c>
      <c r="R485" s="726"/>
      <c r="S485" s="553" t="s">
        <v>1558</v>
      </c>
      <c r="T485"/>
      <c r="U485"/>
      <c r="V485" s="341"/>
      <c r="W485" s="348"/>
      <c r="X485" s="256"/>
      <c r="Y485" s="63"/>
      <c r="Z485" s="257"/>
      <c r="AA485" s="65"/>
      <c r="AB485"/>
      <c r="AC485"/>
    </row>
    <row r="486" spans="1:29" s="203" customFormat="1" ht="21" customHeight="1">
      <c r="A486" s="359" t="s">
        <v>20</v>
      </c>
      <c r="B486" s="194"/>
      <c r="C486" s="202"/>
      <c r="D486" s="169" t="s">
        <v>836</v>
      </c>
      <c r="E486" s="233" t="s">
        <v>366</v>
      </c>
      <c r="F486" s="319"/>
      <c r="G486" s="629"/>
      <c r="H486" s="630"/>
      <c r="I486" s="624"/>
      <c r="J486" s="509" t="s">
        <v>2245</v>
      </c>
      <c r="K486" s="255" t="s">
        <v>368</v>
      </c>
      <c r="L486" s="3" t="s">
        <v>92</v>
      </c>
      <c r="M486" s="369">
        <v>3</v>
      </c>
      <c r="N486" s="236" t="s">
        <v>1368</v>
      </c>
      <c r="O486" s="235"/>
      <c r="P486" s="90">
        <f t="shared" si="37"/>
        <v>3</v>
      </c>
      <c r="Q486" s="283" t="s">
        <v>1261</v>
      </c>
      <c r="R486" s="726"/>
      <c r="S486" s="553" t="s">
        <v>1558</v>
      </c>
      <c r="T486"/>
      <c r="U486"/>
      <c r="V486" s="341"/>
      <c r="W486" s="348"/>
      <c r="X486" s="256"/>
      <c r="Y486" s="63"/>
      <c r="Z486" s="257"/>
      <c r="AA486" s="65"/>
      <c r="AB486"/>
      <c r="AC486"/>
    </row>
    <row r="487" spans="1:29" ht="20.25" customHeight="1">
      <c r="A487" s="359" t="s">
        <v>20</v>
      </c>
      <c r="B487" s="186"/>
      <c r="C487" s="188"/>
      <c r="D487" s="169" t="s">
        <v>836</v>
      </c>
      <c r="E487" s="124" t="s">
        <v>1439</v>
      </c>
      <c r="F487" s="319">
        <v>43333</v>
      </c>
      <c r="G487" s="627"/>
      <c r="H487" s="631"/>
      <c r="I487" s="632"/>
      <c r="J487" s="718" t="s">
        <v>1466</v>
      </c>
      <c r="K487" s="125" t="s">
        <v>1467</v>
      </c>
      <c r="L487" s="125" t="s">
        <v>599</v>
      </c>
      <c r="M487" s="514">
        <v>1</v>
      </c>
      <c r="N487" s="236" t="s">
        <v>1368</v>
      </c>
      <c r="O487" s="235"/>
      <c r="P487" s="90">
        <f t="shared" si="37"/>
        <v>1</v>
      </c>
      <c r="Q487" s="283" t="s">
        <v>1261</v>
      </c>
      <c r="R487" s="726"/>
      <c r="S487" s="276">
        <v>43656</v>
      </c>
      <c r="T487" s="27"/>
      <c r="U487" s="81"/>
      <c r="V487" s="738"/>
      <c r="W487" s="744"/>
      <c r="X487" s="63"/>
      <c r="Y487" s="139"/>
      <c r="Z487" s="131"/>
      <c r="AA487" s="140"/>
      <c r="AB487" s="141"/>
      <c r="AC487" s="141"/>
    </row>
    <row r="488" spans="1:29" ht="20.25" customHeight="1">
      <c r="A488" s="359" t="s">
        <v>28</v>
      </c>
      <c r="B488" s="8"/>
      <c r="C488" s="76" t="str">
        <f>K$2</f>
        <v>10/08/2019</v>
      </c>
      <c r="D488" s="169" t="s">
        <v>836</v>
      </c>
      <c r="E488" s="124" t="s">
        <v>746</v>
      </c>
      <c r="F488" s="323">
        <v>43053</v>
      </c>
      <c r="G488" s="625"/>
      <c r="H488" s="626"/>
      <c r="I488" s="624"/>
      <c r="J488" s="718" t="s">
        <v>747</v>
      </c>
      <c r="K488" s="365" t="s">
        <v>711</v>
      </c>
      <c r="L488" s="364" t="s">
        <v>77</v>
      </c>
      <c r="M488" s="368">
        <v>3</v>
      </c>
      <c r="N488" s="236" t="s">
        <v>1368</v>
      </c>
      <c r="O488" s="235"/>
      <c r="P488" s="90">
        <f t="shared" si="37"/>
        <v>3</v>
      </c>
      <c r="Q488" s="325" t="s">
        <v>1161</v>
      </c>
      <c r="R488" s="726"/>
      <c r="S488" s="276">
        <v>43348</v>
      </c>
      <c r="T488" s="196"/>
      <c r="U488" s="190"/>
      <c r="V488" s="346"/>
      <c r="W488" s="353"/>
      <c r="X488" s="198"/>
      <c r="Y488" s="198">
        <v>24.55</v>
      </c>
      <c r="Z488" s="199"/>
      <c r="AA488" s="200"/>
      <c r="AB488" s="191"/>
      <c r="AC488" s="192"/>
    </row>
    <row r="489" spans="1:29" s="168" customFormat="1" ht="18.75" customHeight="1">
      <c r="A489" s="359" t="s">
        <v>20</v>
      </c>
      <c r="B489" s="157"/>
      <c r="C489" s="158"/>
      <c r="D489" s="169" t="s">
        <v>836</v>
      </c>
      <c r="E489" s="124" t="s">
        <v>2215</v>
      </c>
      <c r="F489" s="320"/>
      <c r="G489" s="625"/>
      <c r="H489" s="626"/>
      <c r="I489" s="624"/>
      <c r="J489" s="506" t="s">
        <v>2216</v>
      </c>
      <c r="K489" s="125" t="s">
        <v>2217</v>
      </c>
      <c r="L489" s="133" t="s">
        <v>2218</v>
      </c>
      <c r="M489" s="714">
        <v>1</v>
      </c>
      <c r="N489" s="236" t="s">
        <v>1368</v>
      </c>
      <c r="O489" s="235"/>
      <c r="P489" s="90">
        <f t="shared" si="37"/>
        <v>1</v>
      </c>
      <c r="Q489" s="283" t="s">
        <v>1261</v>
      </c>
      <c r="R489" s="726"/>
      <c r="S489" s="277" t="s">
        <v>2066</v>
      </c>
      <c r="T489" s="159"/>
      <c r="U489" s="160"/>
      <c r="V489" s="161"/>
      <c r="W489" s="162"/>
      <c r="X489" s="163"/>
      <c r="Y489" s="163"/>
      <c r="Z489" s="164"/>
      <c r="AA489" s="165"/>
      <c r="AB489" s="166"/>
      <c r="AC489" s="167"/>
    </row>
    <row r="490" spans="1:29" s="168" customFormat="1" ht="18.75" customHeight="1">
      <c r="A490" s="359" t="s">
        <v>20</v>
      </c>
      <c r="B490" s="157"/>
      <c r="C490" s="158"/>
      <c r="D490" s="15" t="s">
        <v>967</v>
      </c>
      <c r="E490" s="124" t="s">
        <v>2207</v>
      </c>
      <c r="F490" s="320">
        <v>43676</v>
      </c>
      <c r="G490" s="625"/>
      <c r="H490" s="626"/>
      <c r="I490" s="624"/>
      <c r="J490" s="506" t="s">
        <v>2208</v>
      </c>
      <c r="K490" s="125" t="s">
        <v>2209</v>
      </c>
      <c r="L490" s="133" t="s">
        <v>2210</v>
      </c>
      <c r="M490" s="714">
        <v>4</v>
      </c>
      <c r="N490" s="236" t="s">
        <v>14</v>
      </c>
      <c r="O490" s="235"/>
      <c r="P490" s="90">
        <f t="shared" ref="P490" si="40">IF(O490="",M490,M490-O490)</f>
        <v>4</v>
      </c>
      <c r="Q490" s="283" t="s">
        <v>2228</v>
      </c>
      <c r="R490" s="726"/>
      <c r="S490" s="277" t="s">
        <v>2066</v>
      </c>
      <c r="T490" s="159"/>
      <c r="U490" s="160"/>
      <c r="V490" s="161"/>
      <c r="W490" s="162"/>
      <c r="X490" s="163"/>
      <c r="Y490" s="163"/>
      <c r="Z490" s="164"/>
      <c r="AA490" s="165"/>
      <c r="AB490" s="166"/>
      <c r="AC490" s="167"/>
    </row>
    <row r="491" spans="1:29" s="168" customFormat="1" ht="18.75" customHeight="1">
      <c r="A491" s="359" t="s">
        <v>20</v>
      </c>
      <c r="B491" s="157"/>
      <c r="C491" s="158"/>
      <c r="D491" s="15" t="s">
        <v>967</v>
      </c>
      <c r="E491" s="124" t="s">
        <v>2207</v>
      </c>
      <c r="F491" s="320">
        <v>43676</v>
      </c>
      <c r="G491" s="625"/>
      <c r="H491" s="626"/>
      <c r="I491" s="624"/>
      <c r="J491" s="506" t="s">
        <v>2208</v>
      </c>
      <c r="K491" s="125" t="s">
        <v>2209</v>
      </c>
      <c r="L491" s="133" t="s">
        <v>2210</v>
      </c>
      <c r="M491" s="714">
        <v>8</v>
      </c>
      <c r="N491" s="236" t="s">
        <v>14</v>
      </c>
      <c r="O491" s="235"/>
      <c r="P491" s="90">
        <f t="shared" si="37"/>
        <v>8</v>
      </c>
      <c r="Q491" s="283"/>
      <c r="R491" s="726"/>
      <c r="S491" s="277" t="s">
        <v>2066</v>
      </c>
      <c r="T491" s="159"/>
      <c r="U491" s="160"/>
      <c r="V491" s="161"/>
      <c r="W491" s="162"/>
      <c r="X491" s="163"/>
      <c r="Y491" s="163"/>
      <c r="Z491" s="164"/>
      <c r="AA491" s="165"/>
      <c r="AB491" s="166"/>
      <c r="AC491" s="167"/>
    </row>
    <row r="492" spans="1:29" s="168" customFormat="1" ht="18.75" customHeight="1">
      <c r="A492" s="359" t="s">
        <v>20</v>
      </c>
      <c r="B492" s="157"/>
      <c r="C492" s="158"/>
      <c r="D492" s="15" t="s">
        <v>967</v>
      </c>
      <c r="E492" s="124" t="s">
        <v>789</v>
      </c>
      <c r="F492" s="320">
        <v>43676</v>
      </c>
      <c r="G492" s="625"/>
      <c r="H492" s="626"/>
      <c r="I492" s="624"/>
      <c r="J492" s="506" t="s">
        <v>790</v>
      </c>
      <c r="K492" s="125" t="s">
        <v>791</v>
      </c>
      <c r="L492" s="133" t="s">
        <v>598</v>
      </c>
      <c r="M492" s="714">
        <v>6</v>
      </c>
      <c r="N492" s="236" t="s">
        <v>14</v>
      </c>
      <c r="O492" s="235"/>
      <c r="P492" s="90">
        <f t="shared" ref="P492" si="41">IF(O492="",M492,M492-O492)</f>
        <v>6</v>
      </c>
      <c r="Q492" s="283" t="s">
        <v>2228</v>
      </c>
      <c r="R492" s="726"/>
      <c r="S492" s="277" t="s">
        <v>2066</v>
      </c>
      <c r="T492" s="159"/>
      <c r="U492" s="160"/>
      <c r="V492" s="161"/>
      <c r="W492" s="162"/>
      <c r="X492" s="163"/>
      <c r="Y492" s="163"/>
      <c r="Z492" s="164"/>
      <c r="AA492" s="165"/>
      <c r="AB492" s="166"/>
      <c r="AC492" s="167"/>
    </row>
    <row r="493" spans="1:29" s="168" customFormat="1" ht="18.75" customHeight="1">
      <c r="A493" s="359" t="s">
        <v>20</v>
      </c>
      <c r="B493" s="157"/>
      <c r="C493" s="158"/>
      <c r="D493" s="15" t="s">
        <v>967</v>
      </c>
      <c r="E493" s="124" t="s">
        <v>789</v>
      </c>
      <c r="F493" s="320">
        <v>43676</v>
      </c>
      <c r="G493" s="625"/>
      <c r="H493" s="626"/>
      <c r="I493" s="624"/>
      <c r="J493" s="506" t="s">
        <v>790</v>
      </c>
      <c r="K493" s="125" t="s">
        <v>791</v>
      </c>
      <c r="L493" s="133" t="s">
        <v>598</v>
      </c>
      <c r="M493" s="714">
        <v>2</v>
      </c>
      <c r="N493" s="236" t="s">
        <v>14</v>
      </c>
      <c r="O493" s="235"/>
      <c r="P493" s="90">
        <f t="shared" si="37"/>
        <v>2</v>
      </c>
      <c r="Q493" s="283"/>
      <c r="R493" s="726"/>
      <c r="S493" s="277" t="s">
        <v>2066</v>
      </c>
      <c r="T493" s="159"/>
      <c r="U493" s="160"/>
      <c r="V493" s="161"/>
      <c r="W493" s="162"/>
      <c r="X493" s="163"/>
      <c r="Y493" s="163"/>
      <c r="Z493" s="164"/>
      <c r="AA493" s="165"/>
      <c r="AB493" s="166"/>
      <c r="AC493" s="167"/>
    </row>
    <row r="494" spans="1:29" s="168" customFormat="1" ht="18.75" customHeight="1">
      <c r="A494" s="359" t="s">
        <v>20</v>
      </c>
      <c r="B494" s="157"/>
      <c r="C494" s="158"/>
      <c r="D494" s="15" t="s">
        <v>967</v>
      </c>
      <c r="E494" s="124" t="s">
        <v>93</v>
      </c>
      <c r="F494" s="320" t="s">
        <v>1902</v>
      </c>
      <c r="G494" s="625"/>
      <c r="H494" s="626"/>
      <c r="I494" s="624"/>
      <c r="J494" s="506" t="s">
        <v>90</v>
      </c>
      <c r="K494" s="125" t="s">
        <v>91</v>
      </c>
      <c r="L494" s="133" t="s">
        <v>1571</v>
      </c>
      <c r="M494" s="370">
        <v>5</v>
      </c>
      <c r="N494" s="236" t="s">
        <v>14</v>
      </c>
      <c r="O494" s="235"/>
      <c r="P494" s="90">
        <f t="shared" si="37"/>
        <v>5</v>
      </c>
      <c r="Q494" s="283" t="s">
        <v>1981</v>
      </c>
      <c r="R494" s="726"/>
      <c r="S494" s="277" t="s">
        <v>1978</v>
      </c>
      <c r="T494" s="159"/>
      <c r="U494" s="160"/>
      <c r="V494" s="161"/>
      <c r="W494" s="162"/>
      <c r="X494" s="163"/>
      <c r="Y494" s="163"/>
      <c r="Z494" s="164"/>
      <c r="AA494" s="165"/>
      <c r="AB494" s="166"/>
      <c r="AC494" s="167"/>
    </row>
    <row r="495" spans="1:29" s="168" customFormat="1" ht="18.75" customHeight="1">
      <c r="A495" s="359" t="s">
        <v>20</v>
      </c>
      <c r="B495" s="157"/>
      <c r="C495" s="158"/>
      <c r="D495" s="15" t="s">
        <v>837</v>
      </c>
      <c r="E495" s="124" t="s">
        <v>2215</v>
      </c>
      <c r="F495" s="320">
        <v>43676</v>
      </c>
      <c r="G495" s="625"/>
      <c r="H495" s="626"/>
      <c r="I495" s="624"/>
      <c r="J495" s="506" t="s">
        <v>2216</v>
      </c>
      <c r="K495" s="125" t="s">
        <v>2217</v>
      </c>
      <c r="L495" s="133" t="s">
        <v>2218</v>
      </c>
      <c r="M495" s="714">
        <v>5</v>
      </c>
      <c r="N495" s="236" t="s">
        <v>14</v>
      </c>
      <c r="O495" s="235"/>
      <c r="P495" s="90">
        <f t="shared" ref="P495" si="42">IF(O495="",M495,M495-O495)</f>
        <v>5</v>
      </c>
      <c r="Q495" s="283" t="s">
        <v>2228</v>
      </c>
      <c r="R495" s="726"/>
      <c r="S495" s="277" t="s">
        <v>2066</v>
      </c>
      <c r="T495" s="159"/>
      <c r="U495" s="160"/>
      <c r="V495" s="161"/>
      <c r="W495" s="162"/>
      <c r="X495" s="163"/>
      <c r="Y495" s="163"/>
      <c r="Z495" s="164"/>
      <c r="AA495" s="165"/>
      <c r="AB495" s="166"/>
      <c r="AC495" s="167"/>
    </row>
    <row r="496" spans="1:29" s="168" customFormat="1" ht="18.75" customHeight="1">
      <c r="A496" s="359" t="s">
        <v>20</v>
      </c>
      <c r="B496" s="157"/>
      <c r="C496" s="158"/>
      <c r="D496" s="15" t="s">
        <v>837</v>
      </c>
      <c r="E496" s="124" t="s">
        <v>2215</v>
      </c>
      <c r="F496" s="320">
        <v>43676</v>
      </c>
      <c r="G496" s="625"/>
      <c r="H496" s="626"/>
      <c r="I496" s="624"/>
      <c r="J496" s="506" t="s">
        <v>2216</v>
      </c>
      <c r="K496" s="125" t="s">
        <v>2217</v>
      </c>
      <c r="L496" s="133" t="s">
        <v>2218</v>
      </c>
      <c r="M496" s="714">
        <v>18</v>
      </c>
      <c r="N496" s="236" t="s">
        <v>14</v>
      </c>
      <c r="O496" s="235">
        <v>3</v>
      </c>
      <c r="P496" s="90">
        <f t="shared" si="37"/>
        <v>15</v>
      </c>
      <c r="Q496" s="283"/>
      <c r="R496" s="726" t="s">
        <v>2298</v>
      </c>
      <c r="S496" s="277" t="s">
        <v>2066</v>
      </c>
      <c r="T496" s="159"/>
      <c r="U496" s="160"/>
      <c r="V496" s="161"/>
      <c r="W496" s="162"/>
      <c r="X496" s="163"/>
      <c r="Y496" s="163"/>
      <c r="Z496" s="164"/>
      <c r="AA496" s="165"/>
      <c r="AB496" s="166"/>
      <c r="AC496" s="167"/>
    </row>
    <row r="497" spans="1:29" s="168" customFormat="1" ht="18.75" customHeight="1">
      <c r="A497" s="359" t="s">
        <v>20</v>
      </c>
      <c r="B497" s="157"/>
      <c r="C497" s="158"/>
      <c r="D497" s="15" t="s">
        <v>838</v>
      </c>
      <c r="E497" s="124" t="s">
        <v>132</v>
      </c>
      <c r="F497" s="320" t="s">
        <v>1902</v>
      </c>
      <c r="G497" s="625"/>
      <c r="H497" s="626"/>
      <c r="I497" s="624"/>
      <c r="J497" s="506" t="s">
        <v>133</v>
      </c>
      <c r="K497" s="125" t="s">
        <v>134</v>
      </c>
      <c r="L497" s="133" t="s">
        <v>1572</v>
      </c>
      <c r="M497" s="370">
        <v>39</v>
      </c>
      <c r="N497" s="236" t="s">
        <v>14</v>
      </c>
      <c r="O497" s="235"/>
      <c r="P497" s="90">
        <f t="shared" si="37"/>
        <v>39</v>
      </c>
      <c r="Q497" s="283" t="s">
        <v>2247</v>
      </c>
      <c r="R497" s="726"/>
      <c r="S497" s="277" t="s">
        <v>1978</v>
      </c>
      <c r="T497" s="159"/>
      <c r="U497" s="160"/>
      <c r="V497" s="161"/>
      <c r="W497" s="162"/>
      <c r="X497" s="163"/>
      <c r="Y497" s="163"/>
      <c r="Z497" s="164"/>
      <c r="AA497" s="165"/>
      <c r="AB497" s="166"/>
      <c r="AC497" s="167"/>
    </row>
    <row r="498" spans="1:29" s="203" customFormat="1" ht="21" customHeight="1">
      <c r="A498" s="359" t="s">
        <v>28</v>
      </c>
      <c r="B498" s="194"/>
      <c r="C498" s="202" t="str">
        <f>K$2</f>
        <v>10/08/2019</v>
      </c>
      <c r="D498" s="169" t="s">
        <v>839</v>
      </c>
      <c r="E498" s="124" t="s">
        <v>2180</v>
      </c>
      <c r="F498" s="319">
        <v>43675</v>
      </c>
      <c r="G498" s="629"/>
      <c r="H498" s="630"/>
      <c r="I498" s="624"/>
      <c r="J498" s="718" t="s">
        <v>2177</v>
      </c>
      <c r="K498" s="255" t="s">
        <v>2178</v>
      </c>
      <c r="L498" s="3" t="s">
        <v>2179</v>
      </c>
      <c r="M498" s="369">
        <v>2</v>
      </c>
      <c r="N498" s="236" t="s">
        <v>17</v>
      </c>
      <c r="O498" s="369"/>
      <c r="P498" s="90">
        <f t="shared" si="37"/>
        <v>2</v>
      </c>
      <c r="Q498" s="326"/>
      <c r="R498" s="726"/>
      <c r="S498" s="277">
        <v>43946</v>
      </c>
      <c r="T498"/>
      <c r="U498"/>
      <c r="V498" s="341"/>
      <c r="W498" s="348"/>
      <c r="X498" s="256"/>
      <c r="Y498" s="63"/>
      <c r="Z498" s="257"/>
      <c r="AA498" s="65"/>
      <c r="AB498"/>
      <c r="AC498"/>
    </row>
    <row r="499" spans="1:29" s="203" customFormat="1" ht="21" customHeight="1">
      <c r="A499" s="359" t="s">
        <v>28</v>
      </c>
      <c r="B499" s="194"/>
      <c r="C499" s="202" t="str">
        <f>K$2</f>
        <v>10/08/2019</v>
      </c>
      <c r="D499" s="169" t="s">
        <v>839</v>
      </c>
      <c r="E499" s="124" t="s">
        <v>2151</v>
      </c>
      <c r="F499" s="319">
        <v>43662</v>
      </c>
      <c r="G499" s="629"/>
      <c r="H499" s="630"/>
      <c r="I499" s="624"/>
      <c r="J499" s="718" t="s">
        <v>2149</v>
      </c>
      <c r="K499" s="255"/>
      <c r="L499" s="3" t="s">
        <v>2150</v>
      </c>
      <c r="M499" s="369">
        <v>1</v>
      </c>
      <c r="N499" s="236" t="s">
        <v>17</v>
      </c>
      <c r="O499" s="369"/>
      <c r="P499" s="90">
        <f t="shared" ref="P499" si="43">IF(O499="",M499,M499-O499)</f>
        <v>1</v>
      </c>
      <c r="Q499" s="326"/>
      <c r="R499" s="726"/>
      <c r="S499" s="277" t="s">
        <v>168</v>
      </c>
      <c r="T499"/>
      <c r="U499"/>
      <c r="V499" s="341"/>
      <c r="W499" s="348"/>
      <c r="X499" s="256"/>
      <c r="Y499" s="63"/>
      <c r="Z499" s="257"/>
      <c r="AA499" s="65"/>
      <c r="AB499"/>
      <c r="AC499"/>
    </row>
    <row r="500" spans="1:29" s="203" customFormat="1" ht="21" customHeight="1">
      <c r="A500" s="359" t="s">
        <v>28</v>
      </c>
      <c r="B500" s="194"/>
      <c r="C500" s="202" t="str">
        <f>K$2</f>
        <v>10/08/2019</v>
      </c>
      <c r="D500" s="169" t="s">
        <v>839</v>
      </c>
      <c r="E500" s="124" t="s">
        <v>1850</v>
      </c>
      <c r="F500" s="319" t="s">
        <v>2005</v>
      </c>
      <c r="G500" s="629"/>
      <c r="H500" s="630"/>
      <c r="I500" s="624"/>
      <c r="J500" s="718" t="s">
        <v>1848</v>
      </c>
      <c r="K500" s="255" t="s">
        <v>659</v>
      </c>
      <c r="L500" s="3" t="s">
        <v>1849</v>
      </c>
      <c r="M500" s="369">
        <v>9</v>
      </c>
      <c r="N500" s="236" t="s">
        <v>14</v>
      </c>
      <c r="O500" s="369">
        <v>4</v>
      </c>
      <c r="P500" s="90">
        <f t="shared" si="37"/>
        <v>5</v>
      </c>
      <c r="Q500" s="271"/>
      <c r="R500" s="726" t="s">
        <v>2283</v>
      </c>
      <c r="S500" s="277" t="s">
        <v>2006</v>
      </c>
      <c r="T500"/>
      <c r="U500"/>
      <c r="V500" s="341"/>
      <c r="W500" s="348"/>
      <c r="X500" s="256"/>
      <c r="Y500" s="63"/>
      <c r="Z500" s="257"/>
      <c r="AA500" s="65"/>
      <c r="AB500"/>
      <c r="AC500"/>
    </row>
    <row r="501" spans="1:29" s="203" customFormat="1" ht="21" customHeight="1">
      <c r="A501" s="359" t="s">
        <v>20</v>
      </c>
      <c r="B501" s="194"/>
      <c r="C501" s="202" t="str">
        <f>K$2</f>
        <v>10/08/2019</v>
      </c>
      <c r="D501" s="169" t="s">
        <v>839</v>
      </c>
      <c r="E501" s="233" t="s">
        <v>1051</v>
      </c>
      <c r="F501" s="319">
        <v>43124</v>
      </c>
      <c r="G501" s="629"/>
      <c r="H501" s="630"/>
      <c r="I501" s="624"/>
      <c r="J501" s="718" t="s">
        <v>1028</v>
      </c>
      <c r="K501" s="255"/>
      <c r="L501" s="3" t="s">
        <v>599</v>
      </c>
      <c r="M501" s="369">
        <v>1.75</v>
      </c>
      <c r="N501" s="236" t="s">
        <v>17</v>
      </c>
      <c r="O501" s="369"/>
      <c r="P501" s="90">
        <f t="shared" si="37"/>
        <v>1.75</v>
      </c>
      <c r="Q501" s="271" t="s">
        <v>1378</v>
      </c>
      <c r="R501" s="726"/>
      <c r="S501" s="276">
        <v>43385</v>
      </c>
      <c r="T501"/>
      <c r="U501"/>
      <c r="V501" s="341"/>
      <c r="W501" s="348"/>
      <c r="X501" s="256"/>
      <c r="Y501" s="63"/>
      <c r="Z501" s="257"/>
      <c r="AA501" s="65"/>
      <c r="AB501"/>
      <c r="AC501"/>
    </row>
    <row r="502" spans="1:29" ht="20.25" customHeight="1">
      <c r="A502" s="359" t="s">
        <v>52</v>
      </c>
      <c r="B502" s="8"/>
      <c r="C502" s="76" t="str">
        <f>K$2</f>
        <v>10/08/2019</v>
      </c>
      <c r="D502" s="169" t="s">
        <v>839</v>
      </c>
      <c r="E502" s="124" t="s">
        <v>629</v>
      </c>
      <c r="F502" s="323">
        <v>42822</v>
      </c>
      <c r="G502" s="627"/>
      <c r="H502" s="631"/>
      <c r="I502" s="624"/>
      <c r="J502" s="718" t="s">
        <v>630</v>
      </c>
      <c r="K502" s="125" t="s">
        <v>631</v>
      </c>
      <c r="L502" s="133" t="s">
        <v>1213</v>
      </c>
      <c r="M502" s="368">
        <v>4</v>
      </c>
      <c r="N502" s="259" t="s">
        <v>1134</v>
      </c>
      <c r="O502" s="235"/>
      <c r="P502" s="90">
        <f t="shared" si="37"/>
        <v>4</v>
      </c>
      <c r="Q502" s="497" t="s">
        <v>1258</v>
      </c>
      <c r="R502" s="726"/>
      <c r="S502" s="276">
        <v>42969</v>
      </c>
      <c r="T502" s="196"/>
      <c r="U502" s="190"/>
      <c r="V502" s="346"/>
      <c r="W502" s="353"/>
      <c r="X502" s="198"/>
      <c r="Y502" s="198">
        <v>24.55</v>
      </c>
      <c r="Z502" s="199"/>
      <c r="AA502" s="200"/>
      <c r="AB502" s="191"/>
      <c r="AC502" s="192"/>
    </row>
    <row r="503" spans="1:29" ht="20.25" customHeight="1">
      <c r="A503" s="359" t="s">
        <v>52</v>
      </c>
      <c r="C503" s="84"/>
      <c r="D503" s="169" t="s">
        <v>839</v>
      </c>
      <c r="E503" s="124" t="s">
        <v>629</v>
      </c>
      <c r="F503" s="323">
        <v>42822</v>
      </c>
      <c r="G503" s="627"/>
      <c r="H503" s="631"/>
      <c r="I503" s="624"/>
      <c r="J503" s="718" t="s">
        <v>630</v>
      </c>
      <c r="K503" s="125" t="s">
        <v>631</v>
      </c>
      <c r="L503" s="133" t="s">
        <v>1213</v>
      </c>
      <c r="M503" s="368">
        <v>12</v>
      </c>
      <c r="N503" s="127" t="s">
        <v>17</v>
      </c>
      <c r="O503" s="235"/>
      <c r="P503" s="90">
        <f t="shared" si="37"/>
        <v>12</v>
      </c>
      <c r="Q503" s="497" t="s">
        <v>863</v>
      </c>
      <c r="R503" s="726"/>
      <c r="S503" s="276">
        <v>42969</v>
      </c>
      <c r="T503" s="136"/>
      <c r="U503" s="137"/>
      <c r="V503" s="138"/>
      <c r="W503" s="137"/>
      <c r="X503" s="139"/>
      <c r="Y503" s="139">
        <v>24.55</v>
      </c>
      <c r="Z503" s="131"/>
      <c r="AA503" s="140"/>
      <c r="AB503" s="142"/>
      <c r="AC503" s="132"/>
    </row>
    <row r="504" spans="1:29" s="203" customFormat="1" ht="21" customHeight="1">
      <c r="A504" s="359" t="s">
        <v>52</v>
      </c>
      <c r="B504"/>
      <c r="C504"/>
      <c r="D504" s="169" t="s">
        <v>839</v>
      </c>
      <c r="E504" s="124" t="s">
        <v>629</v>
      </c>
      <c r="F504" s="323">
        <v>42906</v>
      </c>
      <c r="G504" s="627"/>
      <c r="H504" s="631"/>
      <c r="I504" s="624"/>
      <c r="J504" s="718" t="s">
        <v>630</v>
      </c>
      <c r="K504" s="125" t="s">
        <v>707</v>
      </c>
      <c r="L504" s="133" t="s">
        <v>1213</v>
      </c>
      <c r="M504" s="368">
        <v>2</v>
      </c>
      <c r="N504" s="127" t="s">
        <v>17</v>
      </c>
      <c r="O504" s="235"/>
      <c r="P504" s="90">
        <f t="shared" si="37"/>
        <v>2</v>
      </c>
      <c r="Q504" s="497" t="s">
        <v>863</v>
      </c>
      <c r="R504" s="726"/>
      <c r="S504" s="276">
        <v>43055</v>
      </c>
      <c r="T504" s="136"/>
      <c r="U504" s="137"/>
      <c r="V504" s="743"/>
      <c r="W504" s="746"/>
      <c r="X504" s="139">
        <v>32.6</v>
      </c>
      <c r="Y504" s="139"/>
      <c r="Z504" s="131"/>
      <c r="AA504" s="140"/>
      <c r="AB504" s="142"/>
      <c r="AC504" s="132"/>
    </row>
    <row r="505" spans="1:29" s="203" customFormat="1" ht="21" customHeight="1">
      <c r="A505" s="359" t="s">
        <v>71</v>
      </c>
      <c r="B505" s="194"/>
      <c r="C505" s="202"/>
      <c r="D505" s="249" t="s">
        <v>840</v>
      </c>
      <c r="E505" s="233" t="s">
        <v>177</v>
      </c>
      <c r="F505" s="319">
        <v>41885</v>
      </c>
      <c r="G505" s="629"/>
      <c r="H505" s="630"/>
      <c r="I505" s="624"/>
      <c r="J505" s="718" t="s">
        <v>178</v>
      </c>
      <c r="K505" s="255" t="s">
        <v>179</v>
      </c>
      <c r="L505" s="3" t="s">
        <v>7</v>
      </c>
      <c r="M505" s="369">
        <v>25</v>
      </c>
      <c r="N505" s="236" t="s">
        <v>18</v>
      </c>
      <c r="O505" s="235"/>
      <c r="P505" s="90">
        <f t="shared" si="37"/>
        <v>25</v>
      </c>
      <c r="Q505" s="283"/>
      <c r="R505" s="726"/>
      <c r="S505" s="288">
        <v>41999</v>
      </c>
      <c r="T505"/>
      <c r="U505"/>
      <c r="V505" s="341"/>
      <c r="W505" s="348"/>
      <c r="X505" s="256"/>
      <c r="Y505" s="63"/>
      <c r="Z505" s="257">
        <f>185504/22</f>
        <v>8432</v>
      </c>
      <c r="AA505" s="65"/>
      <c r="AB505"/>
      <c r="AC505"/>
    </row>
    <row r="506" spans="1:29" s="203" customFormat="1" ht="21" customHeight="1">
      <c r="A506" s="359" t="s">
        <v>20</v>
      </c>
      <c r="B506" s="194"/>
      <c r="C506" s="195"/>
      <c r="D506" s="249" t="s">
        <v>841</v>
      </c>
      <c r="E506" s="233" t="s">
        <v>909</v>
      </c>
      <c r="F506" s="319">
        <v>43676</v>
      </c>
      <c r="G506" s="629"/>
      <c r="H506" s="630"/>
      <c r="I506" s="624"/>
      <c r="J506" s="718" t="s">
        <v>910</v>
      </c>
      <c r="K506" s="255" t="s">
        <v>911</v>
      </c>
      <c r="L506" s="3" t="s">
        <v>599</v>
      </c>
      <c r="M506" s="727">
        <v>9</v>
      </c>
      <c r="N506" s="236" t="s">
        <v>14</v>
      </c>
      <c r="O506" s="235"/>
      <c r="P506" s="90">
        <f t="shared" ref="P506" si="44">IF(O506="",M506,M506-O506)</f>
        <v>9</v>
      </c>
      <c r="Q506" s="283" t="s">
        <v>2228</v>
      </c>
      <c r="R506" s="726"/>
      <c r="S506" s="288" t="s">
        <v>2066</v>
      </c>
      <c r="T506"/>
      <c r="U506"/>
      <c r="V506" s="341"/>
      <c r="W506" s="348"/>
      <c r="X506" s="256"/>
      <c r="Y506" s="63"/>
      <c r="Z506" s="257">
        <f>185504/22</f>
        <v>8432</v>
      </c>
      <c r="AA506" s="65"/>
      <c r="AB506"/>
      <c r="AC506"/>
    </row>
    <row r="507" spans="1:29" s="203" customFormat="1" ht="21" customHeight="1">
      <c r="A507" s="359" t="s">
        <v>20</v>
      </c>
      <c r="B507" s="194"/>
      <c r="C507" s="195"/>
      <c r="D507" s="249" t="s">
        <v>841</v>
      </c>
      <c r="E507" s="233" t="s">
        <v>909</v>
      </c>
      <c r="F507" s="319">
        <v>43676</v>
      </c>
      <c r="G507" s="629"/>
      <c r="H507" s="630"/>
      <c r="I507" s="624"/>
      <c r="J507" s="718" t="s">
        <v>910</v>
      </c>
      <c r="K507" s="255" t="s">
        <v>911</v>
      </c>
      <c r="L507" s="3" t="s">
        <v>599</v>
      </c>
      <c r="M507" s="727">
        <v>11</v>
      </c>
      <c r="N507" s="236" t="s">
        <v>2211</v>
      </c>
      <c r="O507" s="235"/>
      <c r="P507" s="90">
        <f t="shared" si="37"/>
        <v>11</v>
      </c>
      <c r="Q507" s="283"/>
      <c r="R507" s="726"/>
      <c r="S507" s="288" t="s">
        <v>2066</v>
      </c>
      <c r="T507"/>
      <c r="U507"/>
      <c r="V507" s="341"/>
      <c r="W507" s="348"/>
      <c r="X507" s="256"/>
      <c r="Y507" s="63"/>
      <c r="Z507" s="257">
        <f>185504/22</f>
        <v>8432</v>
      </c>
      <c r="AA507" s="65"/>
      <c r="AB507"/>
      <c r="AC507"/>
    </row>
    <row r="508" spans="1:29" s="168" customFormat="1" ht="18.75" customHeight="1">
      <c r="A508" s="359" t="s">
        <v>20</v>
      </c>
      <c r="B508" s="157"/>
      <c r="C508" s="158"/>
      <c r="D508" s="15" t="s">
        <v>842</v>
      </c>
      <c r="E508" s="124" t="s">
        <v>635</v>
      </c>
      <c r="F508" s="320">
        <v>43676</v>
      </c>
      <c r="G508" s="625"/>
      <c r="H508" s="626"/>
      <c r="I508" s="624"/>
      <c r="J508" s="506" t="s">
        <v>636</v>
      </c>
      <c r="K508" s="125" t="s">
        <v>637</v>
      </c>
      <c r="L508" s="133" t="s">
        <v>599</v>
      </c>
      <c r="M508" s="714">
        <v>11</v>
      </c>
      <c r="N508" s="236" t="s">
        <v>14</v>
      </c>
      <c r="O508" s="235"/>
      <c r="P508" s="90">
        <f t="shared" ref="P508" si="45">IF(O508="",M508,M508-O508)</f>
        <v>11</v>
      </c>
      <c r="Q508" s="526" t="s">
        <v>2228</v>
      </c>
      <c r="R508" s="726"/>
      <c r="S508" s="277" t="s">
        <v>2066</v>
      </c>
      <c r="T508" s="159"/>
      <c r="U508" s="160"/>
      <c r="V508" s="161"/>
      <c r="W508" s="162"/>
      <c r="X508" s="163"/>
      <c r="Y508" s="163"/>
      <c r="Z508" s="164"/>
      <c r="AA508" s="165"/>
      <c r="AB508" s="166"/>
      <c r="AC508" s="167"/>
    </row>
    <row r="509" spans="1:29" s="168" customFormat="1" ht="18.75" customHeight="1">
      <c r="A509" s="359" t="s">
        <v>20</v>
      </c>
      <c r="B509" s="157"/>
      <c r="C509" s="158"/>
      <c r="D509" s="15" t="s">
        <v>842</v>
      </c>
      <c r="E509" s="124" t="s">
        <v>635</v>
      </c>
      <c r="F509" s="320">
        <v>43676</v>
      </c>
      <c r="G509" s="625"/>
      <c r="H509" s="626"/>
      <c r="I509" s="624"/>
      <c r="J509" s="506" t="s">
        <v>636</v>
      </c>
      <c r="K509" s="125" t="s">
        <v>637</v>
      </c>
      <c r="L509" s="133" t="s">
        <v>599</v>
      </c>
      <c r="M509" s="714">
        <v>9</v>
      </c>
      <c r="N509" s="127" t="s">
        <v>17</v>
      </c>
      <c r="O509" s="235"/>
      <c r="P509" s="90">
        <f t="shared" si="37"/>
        <v>9</v>
      </c>
      <c r="Q509" s="526"/>
      <c r="R509" s="726"/>
      <c r="S509" s="277" t="s">
        <v>2066</v>
      </c>
      <c r="T509" s="159"/>
      <c r="U509" s="160"/>
      <c r="V509" s="161"/>
      <c r="W509" s="162"/>
      <c r="X509" s="163"/>
      <c r="Y509" s="163"/>
      <c r="Z509" s="164"/>
      <c r="AA509" s="165"/>
      <c r="AB509" s="166"/>
      <c r="AC509" s="167"/>
    </row>
    <row r="510" spans="1:29" s="168" customFormat="1" ht="18.75" customHeight="1">
      <c r="A510" s="359" t="s">
        <v>71</v>
      </c>
      <c r="B510" s="157"/>
      <c r="C510" s="158"/>
      <c r="D510" s="51" t="s">
        <v>842</v>
      </c>
      <c r="E510" s="536" t="s">
        <v>1509</v>
      </c>
      <c r="F510" s="601">
        <v>43419</v>
      </c>
      <c r="G510" s="625"/>
      <c r="H510" s="626"/>
      <c r="I510" s="624"/>
      <c r="J510" s="610" t="s">
        <v>1585</v>
      </c>
      <c r="K510" s="541" t="s">
        <v>1510</v>
      </c>
      <c r="L510" s="252"/>
      <c r="M510" s="602">
        <v>48</v>
      </c>
      <c r="N510" s="547" t="s">
        <v>17</v>
      </c>
      <c r="O510" s="537">
        <v>48</v>
      </c>
      <c r="P510" s="603">
        <f t="shared" si="37"/>
        <v>0</v>
      </c>
      <c r="Q510" s="526" t="s">
        <v>1587</v>
      </c>
      <c r="R510" s="726" t="s">
        <v>2315</v>
      </c>
      <c r="S510" s="277">
        <v>43746</v>
      </c>
      <c r="T510" s="159"/>
      <c r="U510" s="160"/>
      <c r="V510" s="161"/>
      <c r="W510" s="162"/>
      <c r="X510" s="163"/>
      <c r="Y510" s="163"/>
      <c r="Z510" s="164"/>
      <c r="AA510" s="165"/>
      <c r="AB510" s="166"/>
      <c r="AC510" s="167"/>
    </row>
    <row r="511" spans="1:29" s="168" customFormat="1" ht="18.75" customHeight="1">
      <c r="A511" s="359" t="s">
        <v>20</v>
      </c>
      <c r="B511" s="157"/>
      <c r="C511" s="158"/>
      <c r="D511" s="15" t="s">
        <v>1027</v>
      </c>
      <c r="E511" s="124" t="s">
        <v>93</v>
      </c>
      <c r="F511" s="320">
        <v>43676</v>
      </c>
      <c r="G511" s="625"/>
      <c r="H511" s="626"/>
      <c r="I511" s="624"/>
      <c r="J511" s="506" t="s">
        <v>90</v>
      </c>
      <c r="K511" s="125" t="s">
        <v>91</v>
      </c>
      <c r="L511" s="133" t="s">
        <v>1571</v>
      </c>
      <c r="M511" s="714">
        <v>48</v>
      </c>
      <c r="N511" s="127" t="s">
        <v>17</v>
      </c>
      <c r="O511" s="235"/>
      <c r="P511" s="90">
        <f t="shared" si="37"/>
        <v>48</v>
      </c>
      <c r="Q511" s="526"/>
      <c r="R511" s="726"/>
      <c r="S511" s="277" t="s">
        <v>2219</v>
      </c>
      <c r="T511" s="159"/>
      <c r="U511" s="160"/>
      <c r="V511" s="161"/>
      <c r="W511" s="162"/>
      <c r="X511" s="163"/>
      <c r="Y511" s="163"/>
      <c r="Z511" s="164"/>
      <c r="AA511" s="165"/>
      <c r="AB511" s="166"/>
      <c r="AC511" s="167"/>
    </row>
    <row r="512" spans="1:29" s="168" customFormat="1" ht="18.75" customHeight="1">
      <c r="A512" s="359" t="s">
        <v>71</v>
      </c>
      <c r="B512" s="157"/>
      <c r="C512" s="158"/>
      <c r="D512" s="51" t="s">
        <v>1027</v>
      </c>
      <c r="E512" s="536" t="s">
        <v>1509</v>
      </c>
      <c r="F512" s="601">
        <v>43419</v>
      </c>
      <c r="G512" s="625"/>
      <c r="H512" s="626"/>
      <c r="I512" s="624"/>
      <c r="J512" s="610" t="s">
        <v>1581</v>
      </c>
      <c r="K512" s="541" t="s">
        <v>1510</v>
      </c>
      <c r="L512" s="252"/>
      <c r="M512" s="602">
        <v>48</v>
      </c>
      <c r="N512" s="547" t="s">
        <v>17</v>
      </c>
      <c r="O512" s="537">
        <v>48</v>
      </c>
      <c r="P512" s="603">
        <f t="shared" si="37"/>
        <v>0</v>
      </c>
      <c r="Q512" s="526" t="s">
        <v>1587</v>
      </c>
      <c r="R512" s="726" t="s">
        <v>2315</v>
      </c>
      <c r="S512" s="277">
        <v>43746</v>
      </c>
      <c r="T512" s="159"/>
      <c r="U512" s="160"/>
      <c r="V512" s="161"/>
      <c r="W512" s="162"/>
      <c r="X512" s="163"/>
      <c r="Y512" s="163"/>
      <c r="Z512" s="164"/>
      <c r="AA512" s="165"/>
      <c r="AB512" s="166"/>
      <c r="AC512" s="167"/>
    </row>
    <row r="513" spans="1:29" s="168" customFormat="1" ht="18.75" customHeight="1">
      <c r="A513" s="359" t="s">
        <v>71</v>
      </c>
      <c r="B513" s="157"/>
      <c r="C513" s="158"/>
      <c r="D513" s="51" t="s">
        <v>705</v>
      </c>
      <c r="E513" s="536" t="s">
        <v>1509</v>
      </c>
      <c r="F513" s="601">
        <v>43419</v>
      </c>
      <c r="G513" s="625"/>
      <c r="H513" s="626"/>
      <c r="I513" s="624"/>
      <c r="J513" s="610" t="s">
        <v>1580</v>
      </c>
      <c r="K513" s="541" t="s">
        <v>1510</v>
      </c>
      <c r="L513" s="252"/>
      <c r="M513" s="602">
        <v>48</v>
      </c>
      <c r="N513" s="547" t="s">
        <v>17</v>
      </c>
      <c r="O513" s="537">
        <v>48</v>
      </c>
      <c r="P513" s="603">
        <f t="shared" si="37"/>
        <v>0</v>
      </c>
      <c r="Q513" s="526" t="s">
        <v>1587</v>
      </c>
      <c r="R513" s="726" t="s">
        <v>2315</v>
      </c>
      <c r="S513" s="277">
        <v>43746</v>
      </c>
      <c r="T513" s="159"/>
      <c r="U513" s="160"/>
      <c r="V513" s="161"/>
      <c r="W513" s="162"/>
      <c r="X513" s="163"/>
      <c r="Y513" s="163"/>
      <c r="Z513" s="164"/>
      <c r="AA513" s="165"/>
      <c r="AB513" s="166"/>
      <c r="AC513" s="167"/>
    </row>
    <row r="514" spans="1:29" ht="20.25" customHeight="1">
      <c r="A514" s="359" t="s">
        <v>71</v>
      </c>
      <c r="D514" s="133" t="s">
        <v>527</v>
      </c>
      <c r="E514" s="124" t="s">
        <v>82</v>
      </c>
      <c r="F514" s="320">
        <v>41885</v>
      </c>
      <c r="G514" s="625"/>
      <c r="H514" s="626"/>
      <c r="I514" s="624"/>
      <c r="J514" s="718" t="s">
        <v>79</v>
      </c>
      <c r="K514" s="125" t="s">
        <v>80</v>
      </c>
      <c r="L514" s="133" t="s">
        <v>7</v>
      </c>
      <c r="M514" s="370">
        <v>10</v>
      </c>
      <c r="N514" s="135" t="s">
        <v>18</v>
      </c>
      <c r="O514" s="235"/>
      <c r="P514" s="90">
        <f t="shared" si="37"/>
        <v>10</v>
      </c>
      <c r="Q514" s="270" t="s">
        <v>1867</v>
      </c>
      <c r="R514" s="726"/>
      <c r="S514" s="287">
        <v>42003</v>
      </c>
      <c r="T514" s="197"/>
      <c r="U514" s="203"/>
      <c r="V514" s="205"/>
      <c r="W514" s="205"/>
      <c r="X514" s="198"/>
      <c r="Y514" s="198">
        <v>37</v>
      </c>
      <c r="Z514" s="199"/>
      <c r="AA514" s="200"/>
      <c r="AB514" s="191"/>
      <c r="AC514" s="192"/>
    </row>
    <row r="515" spans="1:29" ht="20.25" customHeight="1">
      <c r="A515" s="359" t="s">
        <v>71</v>
      </c>
      <c r="B515" s="186"/>
      <c r="C515" s="188"/>
      <c r="D515" s="133" t="s">
        <v>527</v>
      </c>
      <c r="E515" s="124" t="s">
        <v>177</v>
      </c>
      <c r="F515" s="320">
        <v>41885</v>
      </c>
      <c r="G515" s="625"/>
      <c r="H515" s="626"/>
      <c r="I515" s="624"/>
      <c r="J515" s="718" t="s">
        <v>178</v>
      </c>
      <c r="K515" s="125" t="s">
        <v>179</v>
      </c>
      <c r="L515" s="133" t="s">
        <v>7</v>
      </c>
      <c r="M515" s="370">
        <v>18</v>
      </c>
      <c r="N515" s="135" t="s">
        <v>18</v>
      </c>
      <c r="O515" s="235"/>
      <c r="P515" s="90">
        <f t="shared" ref="P515:P547" si="46">IF(O515="",M515,M515-O515)</f>
        <v>18</v>
      </c>
      <c r="Q515" s="283"/>
      <c r="R515" s="726"/>
      <c r="S515" s="287">
        <v>41999</v>
      </c>
      <c r="T515" s="27"/>
      <c r="U515" s="81"/>
      <c r="V515" s="82"/>
      <c r="W515" s="81"/>
      <c r="X515" s="63"/>
      <c r="Y515" s="139"/>
      <c r="Z515" s="131"/>
      <c r="AA515" s="140"/>
      <c r="AB515" s="141"/>
      <c r="AC515" s="141"/>
    </row>
    <row r="516" spans="1:29" s="168" customFormat="1" ht="18.75" customHeight="1">
      <c r="A516" s="359" t="s">
        <v>71</v>
      </c>
      <c r="B516" s="157"/>
      <c r="C516" s="158"/>
      <c r="D516" s="252" t="s">
        <v>1741</v>
      </c>
      <c r="E516" s="536" t="s">
        <v>1509</v>
      </c>
      <c r="F516" s="601">
        <v>43419</v>
      </c>
      <c r="G516" s="625"/>
      <c r="H516" s="626"/>
      <c r="I516" s="624"/>
      <c r="J516" s="610" t="s">
        <v>1584</v>
      </c>
      <c r="K516" s="541" t="s">
        <v>1510</v>
      </c>
      <c r="L516" s="252"/>
      <c r="M516" s="602">
        <v>32</v>
      </c>
      <c r="N516" s="547" t="s">
        <v>17</v>
      </c>
      <c r="O516" s="537">
        <v>32</v>
      </c>
      <c r="P516" s="603">
        <f t="shared" si="46"/>
        <v>0</v>
      </c>
      <c r="Q516" s="526" t="s">
        <v>1587</v>
      </c>
      <c r="R516" s="726" t="s">
        <v>2316</v>
      </c>
      <c r="S516" s="277">
        <v>43746</v>
      </c>
      <c r="T516" s="159"/>
      <c r="U516" s="160"/>
      <c r="V516" s="161"/>
      <c r="W516" s="162"/>
      <c r="X516" s="163"/>
      <c r="Y516" s="163"/>
      <c r="Z516" s="164"/>
      <c r="AA516" s="165"/>
      <c r="AB516" s="166"/>
      <c r="AC516" s="167"/>
    </row>
    <row r="517" spans="1:29" s="168" customFormat="1" ht="18.75" customHeight="1">
      <c r="A517" s="359" t="s">
        <v>28</v>
      </c>
      <c r="B517" s="157"/>
      <c r="C517" s="158"/>
      <c r="D517" s="15" t="s">
        <v>1099</v>
      </c>
      <c r="E517" s="124"/>
      <c r="F517" s="320">
        <v>43683</v>
      </c>
      <c r="G517" s="625"/>
      <c r="H517" s="626"/>
      <c r="I517" s="624"/>
      <c r="J517" s="506" t="s">
        <v>2251</v>
      </c>
      <c r="K517" s="125"/>
      <c r="L517" s="133"/>
      <c r="M517" s="714">
        <v>2</v>
      </c>
      <c r="N517" s="127" t="s">
        <v>14</v>
      </c>
      <c r="O517" s="235"/>
      <c r="P517" s="90">
        <f t="shared" ref="P517" si="47">IF(O517="",M517,M517-O517)</f>
        <v>2</v>
      </c>
      <c r="Q517" s="283" t="s">
        <v>2252</v>
      </c>
      <c r="R517" s="726"/>
      <c r="S517" s="277">
        <v>44196</v>
      </c>
      <c r="T517" s="159"/>
      <c r="U517" s="160"/>
      <c r="V517" s="161"/>
      <c r="W517" s="162"/>
      <c r="X517" s="163"/>
      <c r="Y517" s="163"/>
      <c r="Z517" s="164"/>
      <c r="AA517" s="165"/>
      <c r="AB517" s="166"/>
      <c r="AC517" s="167"/>
    </row>
    <row r="518" spans="1:29" s="168" customFormat="1" ht="18.75" customHeight="1">
      <c r="A518" s="359" t="s">
        <v>20</v>
      </c>
      <c r="B518" s="157"/>
      <c r="C518" s="158"/>
      <c r="D518" s="15" t="s">
        <v>1099</v>
      </c>
      <c r="E518" s="124" t="s">
        <v>93</v>
      </c>
      <c r="F518" s="320" t="s">
        <v>1902</v>
      </c>
      <c r="G518" s="625"/>
      <c r="H518" s="626"/>
      <c r="I518" s="624"/>
      <c r="J518" s="506" t="s">
        <v>90</v>
      </c>
      <c r="K518" s="125" t="s">
        <v>91</v>
      </c>
      <c r="L518" s="133" t="s">
        <v>1571</v>
      </c>
      <c r="M518" s="714">
        <v>13</v>
      </c>
      <c r="N518" s="127" t="s">
        <v>17</v>
      </c>
      <c r="O518" s="235"/>
      <c r="P518" s="90">
        <f t="shared" si="46"/>
        <v>13</v>
      </c>
      <c r="Q518" s="283"/>
      <c r="R518" s="726"/>
      <c r="S518" s="277" t="s">
        <v>1978</v>
      </c>
      <c r="T518" s="159"/>
      <c r="U518" s="160"/>
      <c r="V518" s="161"/>
      <c r="W518" s="162"/>
      <c r="X518" s="163"/>
      <c r="Y518" s="163"/>
      <c r="Z518" s="164"/>
      <c r="AA518" s="165"/>
      <c r="AB518" s="166"/>
      <c r="AC518" s="167"/>
    </row>
    <row r="519" spans="1:29" s="168" customFormat="1" ht="18.75" customHeight="1">
      <c r="A519" s="359" t="s">
        <v>20</v>
      </c>
      <c r="B519" s="157"/>
      <c r="C519" s="158"/>
      <c r="D519" s="15" t="s">
        <v>1099</v>
      </c>
      <c r="E519" s="124" t="s">
        <v>132</v>
      </c>
      <c r="F519" s="320" t="s">
        <v>1745</v>
      </c>
      <c r="G519" s="625"/>
      <c r="H519" s="626"/>
      <c r="I519" s="624"/>
      <c r="J519" s="506" t="s">
        <v>133</v>
      </c>
      <c r="K519" s="125" t="s">
        <v>134</v>
      </c>
      <c r="L519" s="133" t="s">
        <v>1572</v>
      </c>
      <c r="M519" s="370">
        <v>1</v>
      </c>
      <c r="N519" s="236" t="s">
        <v>17</v>
      </c>
      <c r="O519" s="235"/>
      <c r="P519" s="90">
        <f t="shared" si="46"/>
        <v>1</v>
      </c>
      <c r="Q519" s="283" t="s">
        <v>1915</v>
      </c>
      <c r="R519" s="726"/>
      <c r="S519" s="277" t="s">
        <v>1746</v>
      </c>
      <c r="T519" s="159"/>
      <c r="U519" s="160"/>
      <c r="V519" s="512"/>
      <c r="W519" s="160"/>
      <c r="X519" s="163"/>
      <c r="Y519" s="163"/>
      <c r="Z519" s="164"/>
      <c r="AA519" s="165"/>
      <c r="AB519" s="166"/>
      <c r="AC519" s="167"/>
    </row>
    <row r="520" spans="1:29" s="168" customFormat="1" ht="18.75" customHeight="1">
      <c r="A520" s="359" t="s">
        <v>20</v>
      </c>
      <c r="B520" s="157"/>
      <c r="C520" s="158"/>
      <c r="D520" s="15" t="s">
        <v>1099</v>
      </c>
      <c r="E520" s="124" t="s">
        <v>789</v>
      </c>
      <c r="F520" s="320" t="s">
        <v>1745</v>
      </c>
      <c r="G520" s="625"/>
      <c r="H520" s="626"/>
      <c r="I520" s="624"/>
      <c r="J520" s="506" t="s">
        <v>790</v>
      </c>
      <c r="K520" s="125" t="s">
        <v>791</v>
      </c>
      <c r="L520" s="133" t="s">
        <v>598</v>
      </c>
      <c r="M520" s="370">
        <v>1</v>
      </c>
      <c r="N520" s="236" t="s">
        <v>17</v>
      </c>
      <c r="O520" s="235"/>
      <c r="P520" s="90">
        <f t="shared" si="46"/>
        <v>1</v>
      </c>
      <c r="Q520" s="283"/>
      <c r="R520" s="726"/>
      <c r="S520" s="277" t="s">
        <v>1747</v>
      </c>
      <c r="T520" s="159"/>
      <c r="U520" s="160"/>
      <c r="V520" s="512"/>
      <c r="W520" s="160"/>
      <c r="X520" s="163"/>
      <c r="Y520" s="163"/>
      <c r="Z520" s="164"/>
      <c r="AA520" s="165"/>
      <c r="AB520" s="166"/>
      <c r="AC520" s="167"/>
    </row>
    <row r="521" spans="1:29" s="168" customFormat="1" ht="18.75" customHeight="1">
      <c r="A521" s="359" t="s">
        <v>20</v>
      </c>
      <c r="B521" s="157"/>
      <c r="C521" s="158"/>
      <c r="D521" s="15" t="s">
        <v>966</v>
      </c>
      <c r="E521" s="124" t="s">
        <v>93</v>
      </c>
      <c r="F521" s="320" t="s">
        <v>1902</v>
      </c>
      <c r="G521" s="625"/>
      <c r="H521" s="626"/>
      <c r="I521" s="624"/>
      <c r="J521" s="506" t="s">
        <v>90</v>
      </c>
      <c r="K521" s="125" t="s">
        <v>91</v>
      </c>
      <c r="L521" s="133" t="s">
        <v>1571</v>
      </c>
      <c r="M521" s="714">
        <v>32</v>
      </c>
      <c r="N521" s="236" t="s">
        <v>14</v>
      </c>
      <c r="O521" s="235"/>
      <c r="P521" s="90">
        <f t="shared" si="46"/>
        <v>32</v>
      </c>
      <c r="Q521" s="283"/>
      <c r="R521" s="726"/>
      <c r="S521" s="277" t="s">
        <v>1978</v>
      </c>
      <c r="T521" s="159"/>
      <c r="U521" s="160"/>
      <c r="V521" s="161"/>
      <c r="W521" s="162"/>
      <c r="X521" s="163"/>
      <c r="Y521" s="163"/>
      <c r="Z521" s="164"/>
      <c r="AA521" s="165"/>
      <c r="AB521" s="166"/>
      <c r="AC521" s="167"/>
    </row>
    <row r="522" spans="1:29" s="168" customFormat="1" ht="18.75" customHeight="1">
      <c r="A522" s="359" t="s">
        <v>71</v>
      </c>
      <c r="B522" s="157"/>
      <c r="C522" s="158"/>
      <c r="D522" s="133" t="s">
        <v>1863</v>
      </c>
      <c r="E522" s="124" t="s">
        <v>649</v>
      </c>
      <c r="F522" s="320" t="s">
        <v>2056</v>
      </c>
      <c r="G522" s="625"/>
      <c r="H522" s="626"/>
      <c r="I522" s="624"/>
      <c r="J522" s="506" t="s">
        <v>2063</v>
      </c>
      <c r="K522" s="125" t="s">
        <v>1313</v>
      </c>
      <c r="L522" s="133" t="s">
        <v>7</v>
      </c>
      <c r="M522" s="370">
        <v>54</v>
      </c>
      <c r="N522" s="127" t="s">
        <v>1657</v>
      </c>
      <c r="O522" s="235"/>
      <c r="P522" s="90">
        <f t="shared" si="46"/>
        <v>54</v>
      </c>
      <c r="Q522" s="606" t="s">
        <v>2065</v>
      </c>
      <c r="R522" s="726"/>
      <c r="S522" s="277" t="s">
        <v>2066</v>
      </c>
      <c r="T522" s="159"/>
      <c r="U522" s="160"/>
      <c r="V522" s="161"/>
      <c r="W522" s="162"/>
      <c r="X522" s="163"/>
      <c r="Y522" s="163"/>
      <c r="Z522" s="164"/>
      <c r="AA522" s="165"/>
      <c r="AB522" s="166"/>
      <c r="AC522" s="167"/>
    </row>
    <row r="523" spans="1:29" s="168" customFormat="1" ht="18.75" customHeight="1">
      <c r="A523" s="359" t="s">
        <v>71</v>
      </c>
      <c r="B523" s="157"/>
      <c r="C523" s="158"/>
      <c r="D523" s="133" t="s">
        <v>823</v>
      </c>
      <c r="E523" s="124" t="s">
        <v>649</v>
      </c>
      <c r="F523" s="320" t="s">
        <v>2056</v>
      </c>
      <c r="G523" s="625"/>
      <c r="H523" s="626"/>
      <c r="I523" s="624"/>
      <c r="J523" s="506" t="s">
        <v>2057</v>
      </c>
      <c r="K523" s="125" t="s">
        <v>1313</v>
      </c>
      <c r="L523" s="133" t="s">
        <v>7</v>
      </c>
      <c r="M523" s="370">
        <v>54</v>
      </c>
      <c r="N523" s="127" t="s">
        <v>1657</v>
      </c>
      <c r="O523" s="235"/>
      <c r="P523" s="90">
        <f t="shared" si="46"/>
        <v>54</v>
      </c>
      <c r="Q523" s="606" t="s">
        <v>2065</v>
      </c>
      <c r="R523" s="726"/>
      <c r="S523" s="277" t="s">
        <v>2066</v>
      </c>
      <c r="T523" s="159"/>
      <c r="U523" s="160"/>
      <c r="V523" s="161"/>
      <c r="W523" s="162"/>
      <c r="X523" s="163"/>
      <c r="Y523" s="163"/>
      <c r="Z523" s="164"/>
      <c r="AA523" s="165"/>
      <c r="AB523" s="166"/>
      <c r="AC523" s="167"/>
    </row>
    <row r="524" spans="1:29" s="168" customFormat="1" ht="18.75" customHeight="1">
      <c r="A524" s="359" t="s">
        <v>71</v>
      </c>
      <c r="B524" s="157"/>
      <c r="C524" s="158"/>
      <c r="D524" s="252" t="s">
        <v>823</v>
      </c>
      <c r="E524" s="536" t="s">
        <v>1509</v>
      </c>
      <c r="F524" s="601">
        <v>43419</v>
      </c>
      <c r="G524" s="625"/>
      <c r="H524" s="626"/>
      <c r="I524" s="624"/>
      <c r="J524" s="610" t="s">
        <v>1583</v>
      </c>
      <c r="K524" s="541" t="s">
        <v>1510</v>
      </c>
      <c r="L524" s="252"/>
      <c r="M524" s="602">
        <v>48</v>
      </c>
      <c r="N524" s="547" t="s">
        <v>17</v>
      </c>
      <c r="O524" s="537">
        <v>48</v>
      </c>
      <c r="P524" s="603">
        <f t="shared" si="46"/>
        <v>0</v>
      </c>
      <c r="Q524" s="526" t="s">
        <v>1587</v>
      </c>
      <c r="R524" s="726" t="s">
        <v>2315</v>
      </c>
      <c r="S524" s="277">
        <v>43746</v>
      </c>
      <c r="T524" s="159"/>
      <c r="U524" s="160"/>
      <c r="V524" s="161"/>
      <c r="W524" s="162"/>
      <c r="X524" s="163"/>
      <c r="Y524" s="163"/>
      <c r="Z524" s="164"/>
      <c r="AA524" s="165"/>
      <c r="AB524" s="166"/>
      <c r="AC524" s="167"/>
    </row>
    <row r="525" spans="1:29" s="168" customFormat="1" ht="18.75" customHeight="1">
      <c r="A525" s="359" t="s">
        <v>20</v>
      </c>
      <c r="B525" s="157"/>
      <c r="C525" s="158"/>
      <c r="D525" s="133" t="s">
        <v>1103</v>
      </c>
      <c r="E525" s="124" t="s">
        <v>792</v>
      </c>
      <c r="F525" s="320">
        <v>43676</v>
      </c>
      <c r="G525" s="625"/>
      <c r="H525" s="626"/>
      <c r="I525" s="624"/>
      <c r="J525" s="506" t="s">
        <v>793</v>
      </c>
      <c r="K525" s="125" t="s">
        <v>794</v>
      </c>
      <c r="L525" s="133" t="s">
        <v>598</v>
      </c>
      <c r="M525" s="714">
        <v>3</v>
      </c>
      <c r="N525" s="127" t="s">
        <v>1657</v>
      </c>
      <c r="O525" s="235"/>
      <c r="P525" s="90">
        <f t="shared" si="46"/>
        <v>3</v>
      </c>
      <c r="Q525" s="606"/>
      <c r="R525" s="726"/>
      <c r="S525" s="277" t="s">
        <v>2066</v>
      </c>
      <c r="T525" s="159"/>
      <c r="U525" s="160"/>
      <c r="V525" s="161"/>
      <c r="W525" s="162"/>
      <c r="X525" s="163"/>
      <c r="Y525" s="163"/>
      <c r="Z525" s="164"/>
      <c r="AA525" s="165"/>
      <c r="AB525" s="166"/>
      <c r="AC525" s="167"/>
    </row>
    <row r="526" spans="1:29" s="168" customFormat="1" ht="18.75" customHeight="1">
      <c r="A526" s="359" t="s">
        <v>71</v>
      </c>
      <c r="B526" s="157"/>
      <c r="C526" s="158"/>
      <c r="D526" s="133" t="s">
        <v>1105</v>
      </c>
      <c r="E526" s="124" t="s">
        <v>649</v>
      </c>
      <c r="F526" s="320" t="s">
        <v>2056</v>
      </c>
      <c r="G526" s="625"/>
      <c r="H526" s="626"/>
      <c r="I526" s="624"/>
      <c r="J526" s="506" t="s">
        <v>2058</v>
      </c>
      <c r="K526" s="125" t="s">
        <v>1313</v>
      </c>
      <c r="L526" s="133" t="s">
        <v>7</v>
      </c>
      <c r="M526" s="370">
        <v>54</v>
      </c>
      <c r="N526" s="127" t="s">
        <v>1657</v>
      </c>
      <c r="O526" s="235"/>
      <c r="P526" s="90">
        <f t="shared" si="46"/>
        <v>54</v>
      </c>
      <c r="Q526" s="606" t="s">
        <v>2065</v>
      </c>
      <c r="R526" s="726"/>
      <c r="S526" s="277" t="s">
        <v>2066</v>
      </c>
      <c r="T526" s="159"/>
      <c r="U526" s="160"/>
      <c r="V526" s="161"/>
      <c r="W526" s="162"/>
      <c r="X526" s="163"/>
      <c r="Y526" s="163"/>
      <c r="Z526" s="164"/>
      <c r="AA526" s="165"/>
      <c r="AB526" s="166"/>
      <c r="AC526" s="167"/>
    </row>
    <row r="527" spans="1:29" s="168" customFormat="1" ht="18.75" customHeight="1">
      <c r="A527" s="359" t="s">
        <v>71</v>
      </c>
      <c r="B527" s="157"/>
      <c r="C527" s="158"/>
      <c r="D527" s="133" t="s">
        <v>1862</v>
      </c>
      <c r="E527" s="124" t="s">
        <v>649</v>
      </c>
      <c r="F527" s="320" t="s">
        <v>2056</v>
      </c>
      <c r="G527" s="625"/>
      <c r="H527" s="626"/>
      <c r="I527" s="624"/>
      <c r="J527" s="506" t="s">
        <v>2061</v>
      </c>
      <c r="K527" s="125" t="s">
        <v>1313</v>
      </c>
      <c r="L527" s="133" t="s">
        <v>7</v>
      </c>
      <c r="M527" s="370">
        <v>54</v>
      </c>
      <c r="N527" s="127" t="s">
        <v>1657</v>
      </c>
      <c r="O527" s="235"/>
      <c r="P527" s="90">
        <f t="shared" si="46"/>
        <v>54</v>
      </c>
      <c r="Q527" s="606" t="s">
        <v>2065</v>
      </c>
      <c r="R527" s="726"/>
      <c r="S527" s="277" t="s">
        <v>2066</v>
      </c>
      <c r="T527" s="159"/>
      <c r="U527" s="160"/>
      <c r="V527" s="161"/>
      <c r="W527" s="162"/>
      <c r="X527" s="163"/>
      <c r="Y527" s="163"/>
      <c r="Z527" s="164"/>
      <c r="AA527" s="165"/>
      <c r="AB527" s="166"/>
      <c r="AC527" s="167"/>
    </row>
    <row r="528" spans="1:29" s="168" customFormat="1" ht="18.75" customHeight="1">
      <c r="A528" s="359" t="s">
        <v>71</v>
      </c>
      <c r="B528" s="157"/>
      <c r="C528" s="158"/>
      <c r="D528" s="133" t="s">
        <v>651</v>
      </c>
      <c r="E528" s="124" t="s">
        <v>649</v>
      </c>
      <c r="F528" s="320" t="s">
        <v>2056</v>
      </c>
      <c r="G528" s="625"/>
      <c r="H528" s="626"/>
      <c r="I528" s="624"/>
      <c r="J528" s="506" t="s">
        <v>2059</v>
      </c>
      <c r="K528" s="125" t="s">
        <v>1313</v>
      </c>
      <c r="L528" s="133" t="s">
        <v>7</v>
      </c>
      <c r="M528" s="370">
        <v>54</v>
      </c>
      <c r="N528" s="127" t="s">
        <v>1657</v>
      </c>
      <c r="O528" s="235"/>
      <c r="P528" s="90">
        <f t="shared" si="46"/>
        <v>54</v>
      </c>
      <c r="Q528" s="606" t="s">
        <v>2065</v>
      </c>
      <c r="R528" s="726"/>
      <c r="S528" s="277" t="s">
        <v>2066</v>
      </c>
      <c r="T528" s="159"/>
      <c r="U528" s="160"/>
      <c r="V528" s="161"/>
      <c r="W528" s="162"/>
      <c r="X528" s="163"/>
      <c r="Y528" s="163"/>
      <c r="Z528" s="164"/>
      <c r="AA528" s="165"/>
      <c r="AB528" s="166"/>
      <c r="AC528" s="167"/>
    </row>
    <row r="529" spans="1:29" s="168" customFormat="1" ht="18.75" customHeight="1">
      <c r="A529" s="359" t="s">
        <v>71</v>
      </c>
      <c r="B529" s="157"/>
      <c r="C529" s="158"/>
      <c r="D529" s="133" t="s">
        <v>650</v>
      </c>
      <c r="E529" s="124" t="s">
        <v>649</v>
      </c>
      <c r="F529" s="320" t="s">
        <v>2056</v>
      </c>
      <c r="G529" s="625"/>
      <c r="H529" s="626"/>
      <c r="I529" s="624"/>
      <c r="J529" s="506" t="s">
        <v>2062</v>
      </c>
      <c r="K529" s="125" t="s">
        <v>1313</v>
      </c>
      <c r="L529" s="133" t="s">
        <v>7</v>
      </c>
      <c r="M529" s="370">
        <v>54</v>
      </c>
      <c r="N529" s="127" t="s">
        <v>1657</v>
      </c>
      <c r="O529" s="235"/>
      <c r="P529" s="90">
        <f t="shared" si="46"/>
        <v>54</v>
      </c>
      <c r="Q529" s="606" t="s">
        <v>2065</v>
      </c>
      <c r="R529" s="726"/>
      <c r="S529" s="277" t="s">
        <v>2066</v>
      </c>
      <c r="T529" s="159"/>
      <c r="U529" s="160"/>
      <c r="V529" s="161"/>
      <c r="W529" s="162"/>
      <c r="X529" s="163"/>
      <c r="Y529" s="163"/>
      <c r="Z529" s="164"/>
      <c r="AA529" s="165"/>
      <c r="AB529" s="166"/>
      <c r="AC529" s="167"/>
    </row>
    <row r="530" spans="1:29" s="141" customFormat="1" ht="20.25" customHeight="1">
      <c r="A530" s="359" t="s">
        <v>20</v>
      </c>
      <c r="B530" s="186"/>
      <c r="C530" s="188"/>
      <c r="D530" s="133" t="s">
        <v>973</v>
      </c>
      <c r="E530" s="124" t="s">
        <v>366</v>
      </c>
      <c r="F530" s="319">
        <v>43676</v>
      </c>
      <c r="G530" s="627"/>
      <c r="H530" s="631"/>
      <c r="I530" s="632"/>
      <c r="J530" s="517" t="s">
        <v>367</v>
      </c>
      <c r="K530" s="125" t="s">
        <v>368</v>
      </c>
      <c r="L530" s="125" t="s">
        <v>1571</v>
      </c>
      <c r="M530" s="710">
        <v>4</v>
      </c>
      <c r="N530" s="236" t="s">
        <v>14</v>
      </c>
      <c r="O530" s="235"/>
      <c r="P530" s="90">
        <f t="shared" ref="P530:P531" si="48">IF(O530="",M530,M530-O530)</f>
        <v>4</v>
      </c>
      <c r="Q530" s="526" t="s">
        <v>2228</v>
      </c>
      <c r="R530" s="726"/>
      <c r="S530" s="383" t="s">
        <v>2220</v>
      </c>
      <c r="T530" s="27"/>
      <c r="U530" s="81"/>
      <c r="V530" s="82"/>
      <c r="W530" s="81"/>
      <c r="X530" s="63"/>
      <c r="Y530" s="139"/>
      <c r="Z530" s="131"/>
      <c r="AA530" s="140"/>
    </row>
    <row r="531" spans="1:29" s="141" customFormat="1" ht="20.25" customHeight="1">
      <c r="A531" s="359" t="s">
        <v>20</v>
      </c>
      <c r="B531" s="186"/>
      <c r="C531" s="188"/>
      <c r="D531" s="133" t="s">
        <v>973</v>
      </c>
      <c r="E531" s="124" t="s">
        <v>366</v>
      </c>
      <c r="F531" s="319">
        <v>43676</v>
      </c>
      <c r="G531" s="627"/>
      <c r="H531" s="631"/>
      <c r="I531" s="632"/>
      <c r="J531" s="517" t="s">
        <v>367</v>
      </c>
      <c r="K531" s="125" t="s">
        <v>368</v>
      </c>
      <c r="L531" s="125" t="s">
        <v>1571</v>
      </c>
      <c r="M531" s="710">
        <v>3</v>
      </c>
      <c r="N531" s="135" t="s">
        <v>17</v>
      </c>
      <c r="O531" s="235"/>
      <c r="P531" s="90">
        <f t="shared" si="48"/>
        <v>3</v>
      </c>
      <c r="Q531" s="526" t="s">
        <v>2229</v>
      </c>
      <c r="R531" s="726"/>
      <c r="S531" s="383" t="s">
        <v>2220</v>
      </c>
      <c r="T531" s="27"/>
      <c r="U531" s="81"/>
      <c r="V531" s="82"/>
      <c r="W531" s="81"/>
      <c r="X531" s="63"/>
      <c r="Y531" s="139"/>
      <c r="Z531" s="131"/>
      <c r="AA531" s="140"/>
    </row>
    <row r="532" spans="1:29" s="141" customFormat="1" ht="20.25" customHeight="1">
      <c r="A532" s="359" t="s">
        <v>20</v>
      </c>
      <c r="B532" s="186"/>
      <c r="C532" s="188"/>
      <c r="D532" s="252" t="s">
        <v>973</v>
      </c>
      <c r="E532" s="536" t="s">
        <v>366</v>
      </c>
      <c r="F532" s="757">
        <v>43676</v>
      </c>
      <c r="G532" s="627"/>
      <c r="H532" s="631"/>
      <c r="I532" s="632"/>
      <c r="J532" s="756" t="s">
        <v>367</v>
      </c>
      <c r="K532" s="541" t="s">
        <v>368</v>
      </c>
      <c r="L532" s="541" t="s">
        <v>1571</v>
      </c>
      <c r="M532" s="768">
        <v>8</v>
      </c>
      <c r="N532" s="763" t="s">
        <v>17</v>
      </c>
      <c r="O532" s="537">
        <v>8</v>
      </c>
      <c r="P532" s="603">
        <f t="shared" si="46"/>
        <v>0</v>
      </c>
      <c r="Q532" s="382"/>
      <c r="R532" s="726" t="s">
        <v>2297</v>
      </c>
      <c r="S532" s="383" t="s">
        <v>2220</v>
      </c>
      <c r="T532" s="27"/>
      <c r="U532" s="81"/>
      <c r="V532" s="82"/>
      <c r="W532" s="81"/>
      <c r="X532" s="63"/>
      <c r="Y532" s="139"/>
      <c r="Z532" s="131"/>
      <c r="AA532" s="140"/>
    </row>
    <row r="533" spans="1:29" s="141" customFormat="1" ht="20.25" customHeight="1">
      <c r="A533" s="359" t="s">
        <v>20</v>
      </c>
      <c r="B533" s="186"/>
      <c r="C533" s="188"/>
      <c r="D533" s="133" t="s">
        <v>970</v>
      </c>
      <c r="E533" s="124" t="s">
        <v>132</v>
      </c>
      <c r="F533" s="319">
        <v>43565</v>
      </c>
      <c r="G533" s="627"/>
      <c r="H533" s="631"/>
      <c r="I533" s="632"/>
      <c r="J533" s="517" t="s">
        <v>133</v>
      </c>
      <c r="K533" s="125" t="s">
        <v>134</v>
      </c>
      <c r="L533" s="125" t="s">
        <v>1572</v>
      </c>
      <c r="M533" s="710">
        <v>4</v>
      </c>
      <c r="N533" s="135" t="s">
        <v>17</v>
      </c>
      <c r="O533" s="235"/>
      <c r="P533" s="90">
        <f t="shared" si="46"/>
        <v>4</v>
      </c>
      <c r="Q533" s="382"/>
      <c r="R533" s="726"/>
      <c r="S533" s="383" t="s">
        <v>1832</v>
      </c>
      <c r="T533" s="27"/>
      <c r="U533" s="81"/>
      <c r="V533" s="82"/>
      <c r="W533" s="81"/>
      <c r="X533" s="63"/>
      <c r="Y533" s="139"/>
      <c r="Z533" s="131"/>
      <c r="AA533" s="140"/>
    </row>
    <row r="534" spans="1:29" s="141" customFormat="1" ht="20.25" customHeight="1">
      <c r="A534" s="359" t="s">
        <v>20</v>
      </c>
      <c r="B534" s="186"/>
      <c r="C534" s="188"/>
      <c r="D534" s="133" t="s">
        <v>968</v>
      </c>
      <c r="E534" s="124" t="s">
        <v>132</v>
      </c>
      <c r="F534" s="319">
        <v>43676</v>
      </c>
      <c r="G534" s="627"/>
      <c r="H534" s="631"/>
      <c r="I534" s="632"/>
      <c r="J534" s="517" t="s">
        <v>133</v>
      </c>
      <c r="K534" s="125" t="s">
        <v>134</v>
      </c>
      <c r="L534" s="125" t="s">
        <v>1572</v>
      </c>
      <c r="M534" s="710">
        <v>30</v>
      </c>
      <c r="N534" s="135" t="s">
        <v>17</v>
      </c>
      <c r="O534" s="235"/>
      <c r="P534" s="90">
        <f t="shared" si="46"/>
        <v>30</v>
      </c>
      <c r="Q534" s="382"/>
      <c r="R534" s="726"/>
      <c r="S534" s="383">
        <v>43985</v>
      </c>
      <c r="T534" s="27"/>
      <c r="U534" s="81"/>
      <c r="V534" s="82"/>
      <c r="W534" s="81"/>
      <c r="X534" s="63"/>
      <c r="Y534" s="139"/>
      <c r="Z534" s="131"/>
      <c r="AA534" s="140"/>
    </row>
    <row r="535" spans="1:29" s="168" customFormat="1" ht="18.75" customHeight="1">
      <c r="A535" s="359" t="s">
        <v>20</v>
      </c>
      <c r="B535" s="157"/>
      <c r="C535" s="158"/>
      <c r="D535" s="133" t="s">
        <v>873</v>
      </c>
      <c r="E535" s="124" t="s">
        <v>93</v>
      </c>
      <c r="F535" s="320">
        <v>43676</v>
      </c>
      <c r="G535" s="625"/>
      <c r="H535" s="626"/>
      <c r="I535" s="624"/>
      <c r="J535" s="506" t="s">
        <v>90</v>
      </c>
      <c r="K535" s="125" t="s">
        <v>91</v>
      </c>
      <c r="L535" s="133" t="s">
        <v>1571</v>
      </c>
      <c r="M535" s="714">
        <v>12</v>
      </c>
      <c r="N535" s="127" t="s">
        <v>17</v>
      </c>
      <c r="O535" s="235"/>
      <c r="P535" s="90">
        <f t="shared" si="46"/>
        <v>12</v>
      </c>
      <c r="Q535" s="526"/>
      <c r="R535" s="726"/>
      <c r="S535" s="277" t="s">
        <v>2219</v>
      </c>
      <c r="T535" s="159"/>
      <c r="U535" s="160"/>
      <c r="V535" s="161"/>
      <c r="W535" s="162"/>
      <c r="X535" s="163"/>
      <c r="Y535" s="163"/>
      <c r="Z535" s="164"/>
      <c r="AA535" s="165"/>
      <c r="AB535" s="166"/>
      <c r="AC535" s="167"/>
    </row>
    <row r="536" spans="1:29" s="168" customFormat="1" ht="18.75" customHeight="1">
      <c r="A536" s="359" t="s">
        <v>71</v>
      </c>
      <c r="B536" s="157"/>
      <c r="C536" s="158"/>
      <c r="D536" s="133" t="s">
        <v>873</v>
      </c>
      <c r="E536" s="124" t="s">
        <v>649</v>
      </c>
      <c r="F536" s="320" t="s">
        <v>2056</v>
      </c>
      <c r="G536" s="625"/>
      <c r="H536" s="626"/>
      <c r="I536" s="624"/>
      <c r="J536" s="506" t="s">
        <v>2060</v>
      </c>
      <c r="K536" s="125" t="s">
        <v>1313</v>
      </c>
      <c r="L536" s="133" t="s">
        <v>7</v>
      </c>
      <c r="M536" s="370">
        <v>54</v>
      </c>
      <c r="N536" s="127" t="s">
        <v>1657</v>
      </c>
      <c r="O536" s="235"/>
      <c r="P536" s="90">
        <f t="shared" si="46"/>
        <v>54</v>
      </c>
      <c r="Q536" s="606" t="s">
        <v>2065</v>
      </c>
      <c r="R536" s="726"/>
      <c r="S536" s="277" t="s">
        <v>2066</v>
      </c>
      <c r="T536" s="159"/>
      <c r="U536" s="160"/>
      <c r="V536" s="161"/>
      <c r="W536" s="162"/>
      <c r="X536" s="163"/>
      <c r="Y536" s="163"/>
      <c r="Z536" s="164"/>
      <c r="AA536" s="165"/>
      <c r="AB536" s="166"/>
      <c r="AC536" s="167"/>
    </row>
    <row r="537" spans="1:29" s="168" customFormat="1" ht="18.75" customHeight="1">
      <c r="A537" s="359" t="s">
        <v>71</v>
      </c>
      <c r="B537" s="157"/>
      <c r="C537" s="158"/>
      <c r="D537" s="51" t="s">
        <v>871</v>
      </c>
      <c r="E537" s="536" t="s">
        <v>1509</v>
      </c>
      <c r="F537" s="601">
        <v>43419</v>
      </c>
      <c r="G537" s="625"/>
      <c r="H537" s="626"/>
      <c r="I537" s="624"/>
      <c r="J537" s="610" t="s">
        <v>1582</v>
      </c>
      <c r="K537" s="541" t="s">
        <v>1510</v>
      </c>
      <c r="L537" s="252"/>
      <c r="M537" s="602">
        <v>48</v>
      </c>
      <c r="N537" s="547" t="s">
        <v>17</v>
      </c>
      <c r="O537" s="537">
        <v>48</v>
      </c>
      <c r="P537" s="603">
        <f t="shared" si="46"/>
        <v>0</v>
      </c>
      <c r="Q537" s="526" t="s">
        <v>1587</v>
      </c>
      <c r="R537" s="726" t="s">
        <v>2315</v>
      </c>
      <c r="S537" s="277">
        <v>43746</v>
      </c>
      <c r="T537" s="159"/>
      <c r="U537" s="160"/>
      <c r="V537" s="161"/>
      <c r="W537" s="162"/>
      <c r="X537" s="163"/>
      <c r="Y537" s="163"/>
      <c r="Z537" s="164"/>
      <c r="AA537" s="165"/>
      <c r="AB537" s="166"/>
      <c r="AC537" s="167"/>
    </row>
    <row r="538" spans="1:29" s="168" customFormat="1" ht="18.75" customHeight="1">
      <c r="A538" s="359" t="s">
        <v>20</v>
      </c>
      <c r="B538" s="157"/>
      <c r="C538" s="158"/>
      <c r="D538" s="15" t="s">
        <v>972</v>
      </c>
      <c r="E538" s="124" t="s">
        <v>2212</v>
      </c>
      <c r="F538" s="320">
        <v>43676</v>
      </c>
      <c r="G538" s="625"/>
      <c r="H538" s="626"/>
      <c r="I538" s="624"/>
      <c r="J538" s="506" t="s">
        <v>2213</v>
      </c>
      <c r="K538" s="125" t="s">
        <v>2214</v>
      </c>
      <c r="L538" s="133" t="s">
        <v>599</v>
      </c>
      <c r="M538" s="714">
        <v>3</v>
      </c>
      <c r="N538" s="127" t="s">
        <v>1657</v>
      </c>
      <c r="O538" s="235">
        <v>1</v>
      </c>
      <c r="P538" s="90">
        <f t="shared" si="46"/>
        <v>2</v>
      </c>
      <c r="Q538" s="526"/>
      <c r="R538" s="726" t="s">
        <v>2299</v>
      </c>
      <c r="S538" s="277" t="s">
        <v>2066</v>
      </c>
      <c r="T538" s="159"/>
      <c r="U538" s="160"/>
      <c r="V538" s="161"/>
      <c r="W538" s="162"/>
      <c r="X538" s="163"/>
      <c r="Y538" s="163"/>
      <c r="Z538" s="164"/>
      <c r="AA538" s="165"/>
      <c r="AB538" s="166"/>
      <c r="AC538" s="167"/>
    </row>
    <row r="539" spans="1:29" s="168" customFormat="1" ht="18.75" customHeight="1">
      <c r="A539" s="359" t="s">
        <v>20</v>
      </c>
      <c r="B539" s="157"/>
      <c r="C539" s="158"/>
      <c r="D539" s="15" t="s">
        <v>972</v>
      </c>
      <c r="E539" s="124" t="s">
        <v>2212</v>
      </c>
      <c r="F539" s="320">
        <v>43676</v>
      </c>
      <c r="G539" s="625"/>
      <c r="H539" s="626"/>
      <c r="I539" s="624"/>
      <c r="J539" s="506" t="s">
        <v>2213</v>
      </c>
      <c r="K539" s="125" t="s">
        <v>2214</v>
      </c>
      <c r="L539" s="133" t="s">
        <v>599</v>
      </c>
      <c r="M539" s="714">
        <v>2</v>
      </c>
      <c r="N539" s="236" t="s">
        <v>14</v>
      </c>
      <c r="O539" s="235"/>
      <c r="P539" s="90">
        <f t="shared" ref="P539" si="49">IF(O539="",M539,M539-O539)</f>
        <v>2</v>
      </c>
      <c r="Q539" s="526" t="s">
        <v>2228</v>
      </c>
      <c r="R539" s="726"/>
      <c r="S539" s="277" t="s">
        <v>2066</v>
      </c>
      <c r="T539" s="159"/>
      <c r="U539" s="160"/>
      <c r="V539" s="161"/>
      <c r="W539" s="162"/>
      <c r="X539" s="163"/>
      <c r="Y539" s="163"/>
      <c r="Z539" s="164"/>
      <c r="AA539" s="165"/>
      <c r="AB539" s="166"/>
      <c r="AC539" s="167"/>
    </row>
    <row r="540" spans="1:29" s="168" customFormat="1" ht="18.75" customHeight="1">
      <c r="A540" s="359" t="s">
        <v>20</v>
      </c>
      <c r="B540" s="157"/>
      <c r="C540" s="158"/>
      <c r="D540" s="15" t="s">
        <v>972</v>
      </c>
      <c r="E540" s="124" t="s">
        <v>2212</v>
      </c>
      <c r="F540" s="320">
        <v>43676</v>
      </c>
      <c r="G540" s="625"/>
      <c r="H540" s="626"/>
      <c r="I540" s="624"/>
      <c r="J540" s="506" t="s">
        <v>2213</v>
      </c>
      <c r="K540" s="125" t="s">
        <v>2214</v>
      </c>
      <c r="L540" s="133" t="s">
        <v>599</v>
      </c>
      <c r="M540" s="714">
        <v>10</v>
      </c>
      <c r="N540" s="236" t="s">
        <v>14</v>
      </c>
      <c r="O540" s="235"/>
      <c r="P540" s="90">
        <f t="shared" si="46"/>
        <v>10</v>
      </c>
      <c r="Q540" s="526" t="s">
        <v>2228</v>
      </c>
      <c r="R540" s="726"/>
      <c r="S540" s="277" t="s">
        <v>2066</v>
      </c>
      <c r="T540" s="159"/>
      <c r="U540" s="160"/>
      <c r="V540" s="161"/>
      <c r="W540" s="162"/>
      <c r="X540" s="163"/>
      <c r="Y540" s="163"/>
      <c r="Z540" s="164"/>
      <c r="AA540" s="165"/>
      <c r="AB540" s="166"/>
      <c r="AC540" s="167"/>
    </row>
    <row r="541" spans="1:29" s="168" customFormat="1" ht="18.75" customHeight="1">
      <c r="A541" s="359" t="s">
        <v>20</v>
      </c>
      <c r="B541" s="157"/>
      <c r="C541" s="158"/>
      <c r="D541" s="15" t="s">
        <v>972</v>
      </c>
      <c r="E541" s="124" t="s">
        <v>2212</v>
      </c>
      <c r="F541" s="320">
        <v>43676</v>
      </c>
      <c r="G541" s="625"/>
      <c r="H541" s="626"/>
      <c r="I541" s="624"/>
      <c r="J541" s="506" t="s">
        <v>2213</v>
      </c>
      <c r="K541" s="125" t="s">
        <v>2214</v>
      </c>
      <c r="L541" s="133" t="s">
        <v>599</v>
      </c>
      <c r="M541" s="714">
        <v>10</v>
      </c>
      <c r="N541" s="127" t="s">
        <v>1657</v>
      </c>
      <c r="O541" s="235"/>
      <c r="P541" s="90">
        <f t="shared" si="46"/>
        <v>10</v>
      </c>
      <c r="Q541" s="526"/>
      <c r="R541" s="726"/>
      <c r="S541" s="277" t="s">
        <v>2066</v>
      </c>
      <c r="T541" s="159"/>
      <c r="U541" s="160"/>
      <c r="V541" s="161"/>
      <c r="W541" s="162"/>
      <c r="X541" s="163"/>
      <c r="Y541" s="163"/>
      <c r="Z541" s="164"/>
      <c r="AA541" s="165"/>
      <c r="AB541" s="166"/>
      <c r="AC541" s="167"/>
    </row>
    <row r="542" spans="1:29" s="168" customFormat="1" ht="18.75" customHeight="1">
      <c r="A542" s="359" t="s">
        <v>71</v>
      </c>
      <c r="B542" s="157"/>
      <c r="C542" s="158"/>
      <c r="D542" s="15" t="s">
        <v>806</v>
      </c>
      <c r="E542" s="124" t="s">
        <v>169</v>
      </c>
      <c r="F542" s="320" t="s">
        <v>2056</v>
      </c>
      <c r="G542" s="625"/>
      <c r="H542" s="626"/>
      <c r="I542" s="624"/>
      <c r="J542" s="506" t="s">
        <v>2068</v>
      </c>
      <c r="K542" s="125" t="s">
        <v>1406</v>
      </c>
      <c r="L542" s="133" t="s">
        <v>7</v>
      </c>
      <c r="M542" s="370">
        <v>54</v>
      </c>
      <c r="N542" s="127" t="s">
        <v>1657</v>
      </c>
      <c r="O542" s="235"/>
      <c r="P542" s="90">
        <f t="shared" si="46"/>
        <v>54</v>
      </c>
      <c r="Q542" s="526" t="s">
        <v>2065</v>
      </c>
      <c r="R542" s="726"/>
      <c r="S542" s="277" t="s">
        <v>2066</v>
      </c>
      <c r="T542" s="159"/>
      <c r="U542" s="160"/>
      <c r="V542" s="161"/>
      <c r="W542" s="162"/>
      <c r="X542" s="163"/>
      <c r="Y542" s="163"/>
      <c r="Z542" s="164"/>
      <c r="AA542" s="165"/>
      <c r="AB542" s="166"/>
      <c r="AC542" s="167"/>
    </row>
    <row r="543" spans="1:29" s="168" customFormat="1" ht="18.75" customHeight="1">
      <c r="A543" s="359" t="s">
        <v>71</v>
      </c>
      <c r="B543" s="157"/>
      <c r="C543" s="158"/>
      <c r="D543" s="15" t="s">
        <v>571</v>
      </c>
      <c r="E543" s="124" t="s">
        <v>169</v>
      </c>
      <c r="F543" s="320" t="s">
        <v>2056</v>
      </c>
      <c r="G543" s="625"/>
      <c r="H543" s="626"/>
      <c r="I543" s="624"/>
      <c r="J543" s="506" t="s">
        <v>2067</v>
      </c>
      <c r="K543" s="125" t="s">
        <v>1406</v>
      </c>
      <c r="L543" s="133" t="s">
        <v>7</v>
      </c>
      <c r="M543" s="370">
        <v>54</v>
      </c>
      <c r="N543" s="127" t="s">
        <v>1657</v>
      </c>
      <c r="O543" s="235"/>
      <c r="P543" s="90">
        <f t="shared" si="46"/>
        <v>54</v>
      </c>
      <c r="Q543" s="526" t="s">
        <v>2065</v>
      </c>
      <c r="R543" s="726"/>
      <c r="S543" s="277" t="s">
        <v>2066</v>
      </c>
      <c r="T543" s="159"/>
      <c r="U543" s="160"/>
      <c r="V543" s="161"/>
      <c r="W543" s="162"/>
      <c r="X543" s="163"/>
      <c r="Y543" s="163"/>
      <c r="Z543" s="164"/>
      <c r="AA543" s="165"/>
      <c r="AB543" s="166"/>
      <c r="AC543" s="167"/>
    </row>
    <row r="544" spans="1:29" s="168" customFormat="1" ht="18.75" customHeight="1">
      <c r="A544" s="359" t="s">
        <v>71</v>
      </c>
      <c r="B544" s="157"/>
      <c r="C544" s="158"/>
      <c r="D544" s="15" t="s">
        <v>508</v>
      </c>
      <c r="E544" s="124" t="s">
        <v>169</v>
      </c>
      <c r="F544" s="320" t="s">
        <v>2056</v>
      </c>
      <c r="G544" s="625"/>
      <c r="H544" s="626"/>
      <c r="I544" s="624"/>
      <c r="J544" s="506" t="s">
        <v>2064</v>
      </c>
      <c r="K544" s="125" t="s">
        <v>1406</v>
      </c>
      <c r="L544" s="133" t="s">
        <v>7</v>
      </c>
      <c r="M544" s="370">
        <v>54</v>
      </c>
      <c r="N544" s="127" t="s">
        <v>1657</v>
      </c>
      <c r="O544" s="235"/>
      <c r="P544" s="90">
        <f t="shared" si="46"/>
        <v>54</v>
      </c>
      <c r="Q544" s="526" t="s">
        <v>2065</v>
      </c>
      <c r="R544" s="726"/>
      <c r="S544" s="277" t="s">
        <v>2066</v>
      </c>
      <c r="T544" s="159"/>
      <c r="U544" s="160"/>
      <c r="V544" s="161"/>
      <c r="W544" s="162"/>
      <c r="X544" s="163"/>
      <c r="Y544" s="163"/>
      <c r="Z544" s="164"/>
      <c r="AA544" s="165"/>
      <c r="AB544" s="166"/>
      <c r="AC544" s="167"/>
    </row>
    <row r="545" spans="1:29" ht="20.25" customHeight="1">
      <c r="A545" s="359" t="s">
        <v>20</v>
      </c>
      <c r="D545" s="133" t="s">
        <v>19</v>
      </c>
      <c r="E545" s="124"/>
      <c r="F545" s="320">
        <v>40647</v>
      </c>
      <c r="G545" s="625"/>
      <c r="H545" s="626"/>
      <c r="I545" s="624"/>
      <c r="J545" s="718" t="s">
        <v>24</v>
      </c>
      <c r="K545" s="125" t="s">
        <v>24</v>
      </c>
      <c r="L545" s="133"/>
      <c r="M545" s="370">
        <v>15</v>
      </c>
      <c r="N545" s="259" t="s">
        <v>1160</v>
      </c>
      <c r="O545" s="235"/>
      <c r="P545" s="90">
        <f t="shared" si="46"/>
        <v>15</v>
      </c>
      <c r="Q545" s="283"/>
      <c r="R545" s="726"/>
      <c r="S545" s="277" t="s">
        <v>168</v>
      </c>
      <c r="T545" s="197"/>
      <c r="U545" s="203"/>
      <c r="V545" s="205">
        <v>35.25</v>
      </c>
      <c r="W545" s="205"/>
      <c r="X545" s="198"/>
      <c r="Y545" s="198"/>
      <c r="Z545" s="199"/>
      <c r="AA545" s="200"/>
      <c r="AB545" s="191"/>
      <c r="AC545" s="192"/>
    </row>
    <row r="546" spans="1:29" s="53" customFormat="1" ht="20.25" customHeight="1">
      <c r="A546" s="359" t="s">
        <v>20</v>
      </c>
      <c r="B546"/>
      <c r="C546" s="84"/>
      <c r="D546" s="133" t="s">
        <v>19</v>
      </c>
      <c r="E546" s="124"/>
      <c r="F546" s="320">
        <v>40647</v>
      </c>
      <c r="G546" s="625"/>
      <c r="H546" s="626"/>
      <c r="I546" s="624"/>
      <c r="J546" s="718" t="s">
        <v>25</v>
      </c>
      <c r="K546" s="125" t="s">
        <v>25</v>
      </c>
      <c r="L546" s="133"/>
      <c r="M546" s="370">
        <v>15</v>
      </c>
      <c r="N546" s="259" t="s">
        <v>1160</v>
      </c>
      <c r="O546" s="235"/>
      <c r="P546" s="90">
        <f t="shared" si="46"/>
        <v>15</v>
      </c>
      <c r="Q546" s="283"/>
      <c r="R546" s="726"/>
      <c r="S546" s="277" t="s">
        <v>168</v>
      </c>
      <c r="T546" s="197"/>
      <c r="U546" s="203"/>
      <c r="V546" s="205">
        <v>82.8</v>
      </c>
      <c r="W546" s="205"/>
      <c r="X546" s="198"/>
      <c r="Y546" s="198"/>
      <c r="Z546" s="199"/>
      <c r="AA546" s="200"/>
      <c r="AB546" s="191"/>
      <c r="AC546" s="192"/>
    </row>
    <row r="547" spans="1:29" ht="19.5" customHeight="1">
      <c r="A547" s="359" t="s">
        <v>20</v>
      </c>
      <c r="B547" s="53"/>
      <c r="C547" s="84"/>
      <c r="D547" s="133" t="s">
        <v>19</v>
      </c>
      <c r="E547" s="124"/>
      <c r="F547" s="320">
        <v>40647</v>
      </c>
      <c r="G547" s="625"/>
      <c r="H547" s="626"/>
      <c r="I547" s="624"/>
      <c r="J547" s="718" t="s">
        <v>26</v>
      </c>
      <c r="K547" s="125" t="s">
        <v>26</v>
      </c>
      <c r="L547" s="133"/>
      <c r="M547" s="370">
        <v>5</v>
      </c>
      <c r="N547" s="259" t="s">
        <v>1160</v>
      </c>
      <c r="O547" s="235"/>
      <c r="P547" s="90">
        <f t="shared" si="46"/>
        <v>5</v>
      </c>
      <c r="Q547" s="283"/>
      <c r="R547" s="726"/>
      <c r="S547" s="277" t="s">
        <v>168</v>
      </c>
      <c r="T547" s="197"/>
      <c r="U547" s="203"/>
      <c r="V547" s="205">
        <v>240</v>
      </c>
      <c r="W547" s="205"/>
      <c r="X547" s="198"/>
      <c r="Y547" s="198"/>
      <c r="Z547" s="199"/>
      <c r="AA547" s="200"/>
      <c r="AB547" s="191"/>
      <c r="AC547" s="192"/>
    </row>
    <row r="548" spans="1:29" ht="20.25" customHeight="1">
      <c r="A548" s="359"/>
      <c r="D548" s="133" t="s">
        <v>19</v>
      </c>
      <c r="E548" s="124"/>
      <c r="F548" s="320">
        <v>40647</v>
      </c>
      <c r="G548" s="625"/>
      <c r="H548" s="626"/>
      <c r="I548" s="624"/>
      <c r="J548" s="718" t="s">
        <v>27</v>
      </c>
      <c r="K548" s="125" t="s">
        <v>27</v>
      </c>
      <c r="L548" s="133"/>
      <c r="M548" s="370">
        <v>15</v>
      </c>
      <c r="N548" s="259" t="s">
        <v>1160</v>
      </c>
      <c r="O548" s="235"/>
      <c r="P548" s="90">
        <f t="shared" ref="P548:P592" si="50">IF(O548="",M548,M548-O548)</f>
        <v>15</v>
      </c>
      <c r="Q548" s="283"/>
      <c r="R548" s="726"/>
      <c r="S548" s="277" t="s">
        <v>168</v>
      </c>
      <c r="T548" s="197"/>
      <c r="U548" s="203"/>
      <c r="V548" s="205"/>
      <c r="W548" s="205"/>
      <c r="X548" s="198"/>
      <c r="Y548" s="198"/>
      <c r="Z548" s="199"/>
      <c r="AA548" s="200"/>
      <c r="AB548" s="191"/>
      <c r="AC548" s="192"/>
    </row>
    <row r="549" spans="1:29" s="141" customFormat="1" ht="20.25" customHeight="1">
      <c r="A549" s="359"/>
      <c r="B549" s="10"/>
      <c r="C549" s="84"/>
      <c r="D549" s="133" t="s">
        <v>19</v>
      </c>
      <c r="E549" s="124"/>
      <c r="F549" s="320">
        <v>40646</v>
      </c>
      <c r="G549" s="625"/>
      <c r="H549" s="626"/>
      <c r="I549" s="624"/>
      <c r="J549" s="718" t="s">
        <v>22</v>
      </c>
      <c r="K549" s="125" t="s">
        <v>22</v>
      </c>
      <c r="L549" s="133" t="s">
        <v>23</v>
      </c>
      <c r="M549" s="370">
        <v>1</v>
      </c>
      <c r="N549" s="135" t="s">
        <v>21</v>
      </c>
      <c r="O549" s="235"/>
      <c r="P549" s="90">
        <f t="shared" si="50"/>
        <v>1</v>
      </c>
      <c r="Q549" s="283"/>
      <c r="R549" s="726"/>
      <c r="S549" s="277" t="s">
        <v>168</v>
      </c>
      <c r="T549" s="197"/>
      <c r="U549" s="203"/>
      <c r="V549" s="204"/>
      <c r="W549" s="206"/>
      <c r="X549" s="198"/>
      <c r="Y549" s="198"/>
      <c r="Z549" s="199"/>
      <c r="AA549" s="200"/>
      <c r="AB549" s="191"/>
      <c r="AC549" s="192"/>
    </row>
    <row r="550" spans="1:29" ht="19.5" customHeight="1">
      <c r="A550" s="359"/>
      <c r="B550" s="141"/>
      <c r="C550" s="122"/>
      <c r="D550" s="133" t="s">
        <v>19</v>
      </c>
      <c r="E550" s="124"/>
      <c r="F550" s="320">
        <v>41180</v>
      </c>
      <c r="G550" s="625"/>
      <c r="H550" s="626"/>
      <c r="I550" s="624"/>
      <c r="J550" s="718" t="s">
        <v>58</v>
      </c>
      <c r="K550" s="125" t="s">
        <v>58</v>
      </c>
      <c r="L550" s="133"/>
      <c r="M550" s="370">
        <v>1</v>
      </c>
      <c r="N550" s="135" t="s">
        <v>17</v>
      </c>
      <c r="O550" s="235"/>
      <c r="P550" s="90">
        <f t="shared" si="50"/>
        <v>1</v>
      </c>
      <c r="Q550" s="283"/>
      <c r="R550" s="726"/>
      <c r="S550" s="277" t="s">
        <v>168</v>
      </c>
      <c r="T550" s="197"/>
      <c r="U550" s="203"/>
      <c r="V550" s="741"/>
      <c r="W550" s="741"/>
      <c r="X550" s="198"/>
      <c r="Y550" s="198"/>
      <c r="Z550" s="199"/>
      <c r="AA550" s="200"/>
      <c r="AB550" s="191"/>
      <c r="AC550" s="192"/>
    </row>
    <row r="551" spans="1:29" ht="19.5" customHeight="1">
      <c r="A551" s="359" t="s">
        <v>20</v>
      </c>
      <c r="D551" s="133" t="s">
        <v>19</v>
      </c>
      <c r="E551" s="124"/>
      <c r="F551" s="320">
        <v>41180</v>
      </c>
      <c r="G551" s="625"/>
      <c r="H551" s="626"/>
      <c r="I551" s="624"/>
      <c r="J551" s="718" t="s">
        <v>59</v>
      </c>
      <c r="K551" s="125" t="s">
        <v>59</v>
      </c>
      <c r="L551" s="133" t="s">
        <v>29</v>
      </c>
      <c r="M551" s="370">
        <v>1</v>
      </c>
      <c r="N551" s="135" t="s">
        <v>17</v>
      </c>
      <c r="O551" s="235"/>
      <c r="P551" s="90">
        <f t="shared" si="50"/>
        <v>1</v>
      </c>
      <c r="Q551" s="283"/>
      <c r="R551" s="726"/>
      <c r="S551" s="277" t="s">
        <v>168</v>
      </c>
      <c r="T551" s="197"/>
      <c r="U551" s="203"/>
      <c r="V551" s="741"/>
      <c r="W551" s="741"/>
      <c r="X551" s="198"/>
      <c r="Y551" s="198"/>
      <c r="Z551" s="199"/>
      <c r="AA551" s="200"/>
      <c r="AB551" s="191"/>
      <c r="AC551" s="192"/>
    </row>
    <row r="552" spans="1:29" ht="19.5" customHeight="1">
      <c r="A552" s="359"/>
      <c r="D552" s="133" t="s">
        <v>19</v>
      </c>
      <c r="E552" s="124"/>
      <c r="F552" s="320">
        <v>41180</v>
      </c>
      <c r="G552" s="625"/>
      <c r="H552" s="626"/>
      <c r="I552" s="624"/>
      <c r="J552" s="718" t="s">
        <v>60</v>
      </c>
      <c r="K552" s="125" t="s">
        <v>60</v>
      </c>
      <c r="L552" s="133" t="s">
        <v>29</v>
      </c>
      <c r="M552" s="370">
        <v>1</v>
      </c>
      <c r="N552" s="135" t="s">
        <v>17</v>
      </c>
      <c r="O552" s="235"/>
      <c r="P552" s="90">
        <f t="shared" si="50"/>
        <v>1</v>
      </c>
      <c r="Q552" s="283"/>
      <c r="R552" s="726"/>
      <c r="S552" s="277" t="s">
        <v>168</v>
      </c>
      <c r="T552" s="197"/>
      <c r="U552" s="203"/>
      <c r="V552" s="205"/>
      <c r="W552" s="205"/>
      <c r="X552" s="198"/>
      <c r="Y552" s="198"/>
      <c r="Z552" s="199"/>
      <c r="AA552" s="200"/>
      <c r="AB552" s="191"/>
      <c r="AC552" s="192"/>
    </row>
    <row r="553" spans="1:29" ht="20.25" customHeight="1">
      <c r="A553" s="359" t="s">
        <v>20</v>
      </c>
      <c r="D553" s="133" t="s">
        <v>19</v>
      </c>
      <c r="E553" s="124"/>
      <c r="F553" s="320">
        <v>41180</v>
      </c>
      <c r="G553" s="625"/>
      <c r="H553" s="626"/>
      <c r="I553" s="624"/>
      <c r="J553" s="718" t="s">
        <v>61</v>
      </c>
      <c r="K553" s="125" t="s">
        <v>61</v>
      </c>
      <c r="L553" s="133"/>
      <c r="M553" s="370">
        <v>15</v>
      </c>
      <c r="N553" s="259" t="s">
        <v>1160</v>
      </c>
      <c r="O553" s="235"/>
      <c r="P553" s="90">
        <f t="shared" si="50"/>
        <v>15</v>
      </c>
      <c r="Q553" s="283"/>
      <c r="R553" s="726"/>
      <c r="S553" s="277" t="s">
        <v>168</v>
      </c>
      <c r="T553" s="197"/>
      <c r="U553" s="203"/>
      <c r="V553" s="205"/>
      <c r="W553" s="205"/>
      <c r="X553" s="198"/>
      <c r="Y553" s="198"/>
      <c r="Z553" s="199"/>
      <c r="AA553" s="200"/>
      <c r="AB553" s="191"/>
      <c r="AC553" s="192"/>
    </row>
    <row r="554" spans="1:29" ht="20.25" customHeight="1">
      <c r="A554" s="359"/>
      <c r="D554" s="133" t="s">
        <v>19</v>
      </c>
      <c r="E554" s="124"/>
      <c r="F554" s="320">
        <v>41180</v>
      </c>
      <c r="G554" s="625"/>
      <c r="H554" s="626"/>
      <c r="I554" s="624"/>
      <c r="J554" s="718" t="s">
        <v>62</v>
      </c>
      <c r="K554" s="125" t="s">
        <v>62</v>
      </c>
      <c r="L554" s="133"/>
      <c r="M554" s="370">
        <v>10</v>
      </c>
      <c r="N554" s="259" t="s">
        <v>1160</v>
      </c>
      <c r="O554" s="235"/>
      <c r="P554" s="90">
        <f t="shared" si="50"/>
        <v>10</v>
      </c>
      <c r="Q554" s="283"/>
      <c r="R554" s="726"/>
      <c r="S554" s="277" t="s">
        <v>168</v>
      </c>
      <c r="T554" s="197"/>
      <c r="U554" s="203"/>
      <c r="V554" s="741"/>
      <c r="W554" s="741"/>
      <c r="X554" s="198"/>
      <c r="Y554" s="198"/>
      <c r="Z554" s="199" t="e">
        <v>#DIV/0!</v>
      </c>
      <c r="AA554" s="200"/>
      <c r="AB554" s="191"/>
      <c r="AC554" s="192"/>
    </row>
    <row r="555" spans="1:29" s="129" customFormat="1" ht="20.25" customHeight="1">
      <c r="A555" s="359"/>
      <c r="B555"/>
      <c r="C555" s="84"/>
      <c r="D555" s="133"/>
      <c r="E555" s="124"/>
      <c r="F555" s="320">
        <v>43060</v>
      </c>
      <c r="G555" s="625"/>
      <c r="H555" s="626"/>
      <c r="I555" s="624"/>
      <c r="J555" s="718" t="s">
        <v>913</v>
      </c>
      <c r="K555" s="125" t="s">
        <v>914</v>
      </c>
      <c r="L555" s="133"/>
      <c r="M555" s="370">
        <v>1</v>
      </c>
      <c r="N555" s="135" t="s">
        <v>17</v>
      </c>
      <c r="O555" s="235"/>
      <c r="P555" s="90">
        <f t="shared" si="50"/>
        <v>1</v>
      </c>
      <c r="Q555" s="283"/>
      <c r="R555" s="726"/>
      <c r="S555" s="287" t="s">
        <v>168</v>
      </c>
      <c r="T555" s="197"/>
      <c r="U555" s="203"/>
      <c r="V555" s="205"/>
      <c r="W555" s="205"/>
      <c r="X555" s="198"/>
      <c r="Y555" s="198"/>
      <c r="Z555" s="199" t="e">
        <v>#DIV/0!</v>
      </c>
      <c r="AA555" s="200"/>
      <c r="AB555" s="191"/>
      <c r="AC555" s="192"/>
    </row>
    <row r="556" spans="1:29" s="53" customFormat="1" ht="20.25" customHeight="1">
      <c r="A556" s="359" t="s">
        <v>20</v>
      </c>
      <c r="B556" s="137"/>
      <c r="C556" s="176" t="str">
        <f>K$2</f>
        <v>10/08/2019</v>
      </c>
      <c r="D556" s="133"/>
      <c r="E556" s="124"/>
      <c r="F556" s="320">
        <v>43060</v>
      </c>
      <c r="G556" s="625"/>
      <c r="H556" s="626"/>
      <c r="I556" s="624"/>
      <c r="J556" s="718" t="s">
        <v>915</v>
      </c>
      <c r="K556" s="125" t="s">
        <v>916</v>
      </c>
      <c r="L556" s="133"/>
      <c r="M556" s="370">
        <v>1</v>
      </c>
      <c r="N556" s="135" t="s">
        <v>17</v>
      </c>
      <c r="O556" s="235"/>
      <c r="P556" s="90">
        <f t="shared" si="50"/>
        <v>1</v>
      </c>
      <c r="Q556" s="283"/>
      <c r="R556" s="726"/>
      <c r="S556" s="287" t="s">
        <v>168</v>
      </c>
      <c r="T556" s="197"/>
      <c r="U556" s="203"/>
      <c r="V556" s="206"/>
      <c r="W556" s="205"/>
      <c r="X556" s="198"/>
      <c r="Y556" s="198"/>
      <c r="Z556" s="199">
        <v>-483</v>
      </c>
      <c r="AA556" s="200"/>
      <c r="AB556" s="191"/>
      <c r="AC556" s="192"/>
    </row>
    <row r="557" spans="1:29" s="141" customFormat="1" ht="20.25" customHeight="1">
      <c r="A557" s="359" t="s">
        <v>20</v>
      </c>
      <c r="B557" s="53"/>
      <c r="C557" s="84"/>
      <c r="D557" s="133"/>
      <c r="E557" s="124" t="s">
        <v>917</v>
      </c>
      <c r="F557" s="320">
        <v>43060</v>
      </c>
      <c r="G557" s="625"/>
      <c r="H557" s="626"/>
      <c r="I557" s="624"/>
      <c r="J557" s="718" t="s">
        <v>918</v>
      </c>
      <c r="K557" s="125" t="s">
        <v>919</v>
      </c>
      <c r="L557" s="133"/>
      <c r="M557" s="370">
        <v>7</v>
      </c>
      <c r="N557" s="259" t="s">
        <v>1160</v>
      </c>
      <c r="O557" s="235"/>
      <c r="P557" s="90">
        <f t="shared" si="50"/>
        <v>7</v>
      </c>
      <c r="Q557" s="283"/>
      <c r="R557" s="726"/>
      <c r="S557" s="287" t="s">
        <v>168</v>
      </c>
      <c r="T557" s="197"/>
      <c r="U557" s="203"/>
      <c r="V557" s="205"/>
      <c r="W557" s="205"/>
      <c r="X557" s="198"/>
      <c r="Y557" s="198"/>
      <c r="Z557" s="199">
        <v>-6480</v>
      </c>
      <c r="AA557" s="200"/>
      <c r="AB557" s="191"/>
      <c r="AC557" s="192"/>
    </row>
    <row r="558" spans="1:29" s="156" customFormat="1" ht="21" customHeight="1">
      <c r="A558" s="359" t="s">
        <v>20</v>
      </c>
      <c r="B558" s="141"/>
      <c r="C558" s="122"/>
      <c r="D558" s="133"/>
      <c r="E558" s="124" t="s">
        <v>920</v>
      </c>
      <c r="F558" s="320">
        <v>43060</v>
      </c>
      <c r="G558" s="625"/>
      <c r="H558" s="626"/>
      <c r="I558" s="624"/>
      <c r="J558" s="718" t="s">
        <v>921</v>
      </c>
      <c r="K558" s="125" t="s">
        <v>922</v>
      </c>
      <c r="L558" s="133"/>
      <c r="M558" s="370">
        <v>15</v>
      </c>
      <c r="N558" s="259" t="s">
        <v>1160</v>
      </c>
      <c r="O558" s="235"/>
      <c r="P558" s="90">
        <f t="shared" si="50"/>
        <v>15</v>
      </c>
      <c r="Q558" s="283"/>
      <c r="R558" s="726"/>
      <c r="S558" s="287" t="s">
        <v>168</v>
      </c>
      <c r="T558" s="197"/>
      <c r="U558" s="203"/>
      <c r="V558" s="205"/>
      <c r="W558" s="205"/>
      <c r="X558" s="198"/>
      <c r="Y558" s="198"/>
      <c r="Z558" s="199">
        <v>-7304</v>
      </c>
      <c r="AA558" s="200"/>
      <c r="AB558" s="191"/>
      <c r="AC558" s="192"/>
    </row>
    <row r="559" spans="1:29" ht="20.25" customHeight="1">
      <c r="A559" s="359" t="s">
        <v>20</v>
      </c>
      <c r="B559" s="137"/>
      <c r="C559" s="176"/>
      <c r="D559" s="133"/>
      <c r="E559" s="124" t="s">
        <v>923</v>
      </c>
      <c r="F559" s="320">
        <v>43060</v>
      </c>
      <c r="G559" s="625"/>
      <c r="H559" s="626"/>
      <c r="I559" s="624"/>
      <c r="J559" s="718" t="s">
        <v>924</v>
      </c>
      <c r="K559" s="125" t="s">
        <v>925</v>
      </c>
      <c r="L559" s="133"/>
      <c r="M559" s="370">
        <v>3</v>
      </c>
      <c r="N559" s="259" t="s">
        <v>1160</v>
      </c>
      <c r="O559" s="235"/>
      <c r="P559" s="90">
        <f t="shared" si="50"/>
        <v>3</v>
      </c>
      <c r="Q559" s="283"/>
      <c r="R559" s="726"/>
      <c r="S559" s="287" t="s">
        <v>168</v>
      </c>
      <c r="T559" s="197"/>
      <c r="U559" s="203"/>
      <c r="V559" s="206"/>
      <c r="W559" s="205"/>
      <c r="X559" s="198"/>
      <c r="Y559" s="198"/>
      <c r="Z559" s="199">
        <v>-9132</v>
      </c>
      <c r="AA559" s="200"/>
      <c r="AB559" s="191"/>
      <c r="AC559" s="192"/>
    </row>
    <row r="560" spans="1:29" s="168" customFormat="1" ht="18.75" customHeight="1">
      <c r="A560" s="359" t="s">
        <v>20</v>
      </c>
      <c r="B560"/>
      <c r="C560" s="84"/>
      <c r="D560" s="133"/>
      <c r="E560" s="124" t="s">
        <v>926</v>
      </c>
      <c r="F560" s="320">
        <v>43060</v>
      </c>
      <c r="G560" s="625"/>
      <c r="H560" s="626"/>
      <c r="I560" s="624"/>
      <c r="J560" s="718" t="s">
        <v>927</v>
      </c>
      <c r="K560" s="125" t="s">
        <v>928</v>
      </c>
      <c r="L560" s="133"/>
      <c r="M560" s="370">
        <v>1</v>
      </c>
      <c r="N560" s="259" t="s">
        <v>1160</v>
      </c>
      <c r="O560" s="235"/>
      <c r="P560" s="90">
        <f t="shared" si="50"/>
        <v>1</v>
      </c>
      <c r="Q560" s="283"/>
      <c r="R560" s="726"/>
      <c r="S560" s="287" t="s">
        <v>168</v>
      </c>
      <c r="T560" s="197"/>
      <c r="U560" s="203"/>
      <c r="V560" s="205"/>
      <c r="W560" s="205"/>
      <c r="X560" s="198"/>
      <c r="Y560" s="198"/>
      <c r="Z560" s="199">
        <v>-5900</v>
      </c>
      <c r="AA560" s="200"/>
      <c r="AB560" s="191"/>
      <c r="AC560" s="192"/>
    </row>
    <row r="561" spans="1:38" s="168" customFormat="1" ht="18.75" customHeight="1">
      <c r="A561" s="359" t="s">
        <v>20</v>
      </c>
      <c r="B561" s="157"/>
      <c r="C561" s="158" t="str">
        <f>K$2</f>
        <v>10/08/2019</v>
      </c>
      <c r="D561" s="133"/>
      <c r="E561" s="124" t="s">
        <v>929</v>
      </c>
      <c r="F561" s="320">
        <v>43060</v>
      </c>
      <c r="G561" s="625"/>
      <c r="H561" s="626"/>
      <c r="I561" s="624"/>
      <c r="J561" s="718" t="s">
        <v>930</v>
      </c>
      <c r="K561" s="125" t="s">
        <v>931</v>
      </c>
      <c r="L561" s="133"/>
      <c r="M561" s="370">
        <v>1</v>
      </c>
      <c r="N561" s="259" t="s">
        <v>1160</v>
      </c>
      <c r="O561" s="235"/>
      <c r="P561" s="90">
        <f t="shared" si="50"/>
        <v>1</v>
      </c>
      <c r="Q561" s="283"/>
      <c r="R561" s="726"/>
      <c r="S561" s="553" t="s">
        <v>1558</v>
      </c>
      <c r="T561" s="159"/>
      <c r="U561" s="160"/>
      <c r="V561" s="161"/>
      <c r="W561" s="162"/>
      <c r="X561" s="163"/>
      <c r="Y561" s="163"/>
      <c r="Z561" s="164"/>
      <c r="AA561" s="165"/>
      <c r="AB561" s="166"/>
      <c r="AC561" s="167"/>
    </row>
    <row r="562" spans="1:38" s="141" customFormat="1" ht="20.25" customHeight="1">
      <c r="A562" s="377" t="s">
        <v>28</v>
      </c>
      <c r="B562" s="186"/>
      <c r="C562" s="188"/>
      <c r="D562" s="249" t="s">
        <v>2308</v>
      </c>
      <c r="E562" s="124" t="s">
        <v>1042</v>
      </c>
      <c r="F562" s="319" t="s">
        <v>2121</v>
      </c>
      <c r="G562" s="627"/>
      <c r="H562" s="631"/>
      <c r="I562" s="632" t="s">
        <v>2309</v>
      </c>
      <c r="J562" s="517" t="s">
        <v>2122</v>
      </c>
      <c r="K562" s="125" t="s">
        <v>2123</v>
      </c>
      <c r="L562" s="125" t="s">
        <v>2125</v>
      </c>
      <c r="M562" s="710">
        <v>1</v>
      </c>
      <c r="N562" s="135" t="s">
        <v>17</v>
      </c>
      <c r="O562" s="235"/>
      <c r="P562" s="90">
        <f t="shared" si="50"/>
        <v>1</v>
      </c>
      <c r="Q562" s="382" t="s">
        <v>2124</v>
      </c>
      <c r="R562" s="726"/>
      <c r="S562" s="383" t="s">
        <v>168</v>
      </c>
      <c r="T562" s="27"/>
      <c r="U562" s="81"/>
      <c r="V562" s="82"/>
      <c r="W562" s="81"/>
      <c r="X562" s="63"/>
      <c r="Y562" s="139"/>
      <c r="Z562" s="131"/>
      <c r="AA562" s="140"/>
    </row>
    <row r="563" spans="1:38" s="168" customFormat="1" ht="18.75" customHeight="1">
      <c r="A563" s="359"/>
      <c r="B563" s="157"/>
      <c r="C563" s="158"/>
      <c r="D563" s="133" t="s">
        <v>1559</v>
      </c>
      <c r="E563" s="124" t="s">
        <v>1785</v>
      </c>
      <c r="F563" s="320">
        <v>43410</v>
      </c>
      <c r="G563" s="625"/>
      <c r="H563" s="626"/>
      <c r="I563" s="624"/>
      <c r="J563" s="718" t="s">
        <v>1786</v>
      </c>
      <c r="K563" s="125" t="s">
        <v>1787</v>
      </c>
      <c r="L563" s="133" t="s">
        <v>1561</v>
      </c>
      <c r="M563" s="370">
        <v>1</v>
      </c>
      <c r="N563" s="259" t="s">
        <v>1160</v>
      </c>
      <c r="O563" s="235"/>
      <c r="P563" s="90">
        <f t="shared" si="50"/>
        <v>1</v>
      </c>
      <c r="Q563" s="283" t="s">
        <v>1788</v>
      </c>
      <c r="R563" s="726"/>
      <c r="S563" s="550" t="s">
        <v>168</v>
      </c>
      <c r="T563" s="159"/>
      <c r="U563" s="160"/>
      <c r="V563" s="512"/>
      <c r="W563" s="160"/>
      <c r="X563" s="163"/>
      <c r="Y563" s="163"/>
      <c r="Z563" s="164"/>
      <c r="AA563" s="165"/>
      <c r="AB563" s="166"/>
      <c r="AC563" s="167"/>
    </row>
    <row r="564" spans="1:38" s="168" customFormat="1" ht="18.75" customHeight="1">
      <c r="A564" s="359" t="s">
        <v>20</v>
      </c>
      <c r="B564" s="157"/>
      <c r="C564" s="158"/>
      <c r="D564" s="133" t="s">
        <v>1559</v>
      </c>
      <c r="E564" s="124" t="s">
        <v>1560</v>
      </c>
      <c r="F564" s="320">
        <v>43410</v>
      </c>
      <c r="G564" s="625"/>
      <c r="H564" s="626"/>
      <c r="I564" s="624"/>
      <c r="J564" s="718" t="s">
        <v>1783</v>
      </c>
      <c r="K564" s="125" t="s">
        <v>1784</v>
      </c>
      <c r="L564" s="133" t="s">
        <v>1561</v>
      </c>
      <c r="M564" s="370">
        <v>2</v>
      </c>
      <c r="N564" s="259" t="s">
        <v>1160</v>
      </c>
      <c r="O564" s="235"/>
      <c r="P564" s="90">
        <f t="shared" si="50"/>
        <v>2</v>
      </c>
      <c r="Q564" s="283"/>
      <c r="R564" s="726"/>
      <c r="S564" s="550" t="s">
        <v>168</v>
      </c>
      <c r="T564" s="159"/>
      <c r="U564" s="160"/>
      <c r="V564" s="512"/>
      <c r="W564" s="160"/>
      <c r="X564" s="163"/>
      <c r="Y564" s="163"/>
      <c r="Z564" s="164"/>
      <c r="AA564" s="165"/>
      <c r="AB564" s="166"/>
      <c r="AC564" s="167"/>
    </row>
    <row r="565" spans="1:38" s="168" customFormat="1" ht="24" customHeight="1">
      <c r="A565" s="510"/>
      <c r="B565" s="157"/>
      <c r="C565" s="511"/>
      <c r="D565" s="291"/>
      <c r="E565" s="291"/>
      <c r="F565" s="311" t="s">
        <v>144</v>
      </c>
      <c r="G565" s="640"/>
      <c r="H565" s="641"/>
      <c r="I565" s="624"/>
      <c r="J565" s="291" t="s">
        <v>786</v>
      </c>
      <c r="K565" s="291" t="s">
        <v>786</v>
      </c>
      <c r="L565" s="291" t="s">
        <v>786</v>
      </c>
      <c r="M565" s="292" t="s">
        <v>145</v>
      </c>
      <c r="N565" s="291"/>
      <c r="O565" s="291"/>
      <c r="P565" s="292" t="str">
        <f t="shared" si="50"/>
        <v>出荷数</v>
      </c>
      <c r="Q565" s="334" t="s">
        <v>866</v>
      </c>
      <c r="R565" s="334" t="s">
        <v>145</v>
      </c>
      <c r="S565" s="293"/>
      <c r="T565" s="159"/>
      <c r="U565" s="160"/>
      <c r="V565" s="512"/>
      <c r="W565" s="160"/>
      <c r="X565" s="163"/>
      <c r="Y565" s="163"/>
      <c r="Z565" s="164"/>
      <c r="AA565" s="165"/>
      <c r="AB565" s="166"/>
      <c r="AC565" s="167"/>
    </row>
    <row r="566" spans="1:38" ht="20.25" customHeight="1">
      <c r="A566" s="359"/>
      <c r="B566" s="157"/>
      <c r="C566" s="158" t="str">
        <f>K$2</f>
        <v>10/08/2019</v>
      </c>
      <c r="D566" s="294"/>
      <c r="E566" s="294"/>
      <c r="F566" s="312" t="s">
        <v>144</v>
      </c>
      <c r="G566" s="640"/>
      <c r="H566" s="641"/>
      <c r="I566" s="624"/>
      <c r="J566" s="294" t="s">
        <v>1323</v>
      </c>
      <c r="K566" s="294" t="s">
        <v>865</v>
      </c>
      <c r="L566" s="294"/>
      <c r="M566" s="295" t="s">
        <v>145</v>
      </c>
      <c r="N566" s="294"/>
      <c r="O566" s="294"/>
      <c r="P566" s="295" t="str">
        <f t="shared" si="50"/>
        <v>出荷数</v>
      </c>
      <c r="Q566" s="335" t="s">
        <v>866</v>
      </c>
      <c r="R566" s="335" t="s">
        <v>867</v>
      </c>
      <c r="S566" s="296"/>
      <c r="T566" s="27"/>
      <c r="U566" s="81"/>
      <c r="V566" s="82"/>
      <c r="W566" s="81"/>
      <c r="X566" s="63"/>
      <c r="Y566" s="139">
        <v>37.6</v>
      </c>
      <c r="Z566" s="131"/>
      <c r="AA566" s="140"/>
      <c r="AB566" s="141"/>
      <c r="AC566" s="141"/>
    </row>
    <row r="567" spans="1:38" s="168" customFormat="1" ht="18.75" customHeight="1">
      <c r="A567" s="359" t="s">
        <v>20</v>
      </c>
      <c r="B567" s="157"/>
      <c r="C567" s="158"/>
      <c r="D567" s="15" t="s">
        <v>972</v>
      </c>
      <c r="E567" s="124" t="s">
        <v>2212</v>
      </c>
      <c r="F567" s="320">
        <v>43676</v>
      </c>
      <c r="G567" s="625"/>
      <c r="H567" s="626"/>
      <c r="I567" s="624"/>
      <c r="J567" s="506" t="s">
        <v>2213</v>
      </c>
      <c r="K567" s="125" t="s">
        <v>2214</v>
      </c>
      <c r="L567" s="133" t="s">
        <v>599</v>
      </c>
      <c r="M567" s="714">
        <v>1</v>
      </c>
      <c r="N567" s="127" t="s">
        <v>1657</v>
      </c>
      <c r="O567" s="235"/>
      <c r="P567" s="90">
        <f t="shared" si="50"/>
        <v>1</v>
      </c>
      <c r="Q567" s="755" t="s">
        <v>2317</v>
      </c>
      <c r="R567" s="726" t="s">
        <v>2386</v>
      </c>
      <c r="S567" s="277" t="s">
        <v>2066</v>
      </c>
      <c r="T567" s="159"/>
      <c r="U567" s="160"/>
      <c r="V567" s="161"/>
      <c r="W567" s="162"/>
      <c r="X567" s="163"/>
      <c r="Y567" s="163"/>
      <c r="Z567" s="164"/>
      <c r="AA567" s="165"/>
      <c r="AB567" s="166"/>
      <c r="AC567" s="167"/>
    </row>
    <row r="568" spans="1:38" s="141" customFormat="1" ht="20.25" customHeight="1">
      <c r="A568" s="359" t="s">
        <v>20</v>
      </c>
      <c r="B568" s="186"/>
      <c r="C568" s="188"/>
      <c r="D568" s="133" t="s">
        <v>973</v>
      </c>
      <c r="E568" s="124" t="s">
        <v>366</v>
      </c>
      <c r="F568" s="319">
        <v>43676</v>
      </c>
      <c r="G568" s="627"/>
      <c r="H568" s="631"/>
      <c r="I568" s="632"/>
      <c r="J568" s="517" t="s">
        <v>367</v>
      </c>
      <c r="K568" s="125" t="s">
        <v>368</v>
      </c>
      <c r="L568" s="125" t="s">
        <v>1571</v>
      </c>
      <c r="M568" s="710">
        <v>8</v>
      </c>
      <c r="N568" s="135" t="s">
        <v>17</v>
      </c>
      <c r="O568" s="235"/>
      <c r="P568" s="90">
        <f t="shared" si="50"/>
        <v>8</v>
      </c>
      <c r="Q568" s="755" t="s">
        <v>2317</v>
      </c>
      <c r="R568" s="726" t="s">
        <v>2386</v>
      </c>
      <c r="S568" s="383" t="s">
        <v>2220</v>
      </c>
      <c r="T568" s="27"/>
      <c r="U568" s="81"/>
      <c r="V568" s="82"/>
      <c r="W568" s="81"/>
      <c r="X568" s="63"/>
      <c r="Y568" s="139"/>
      <c r="Z568" s="131"/>
      <c r="AA568" s="140"/>
    </row>
    <row r="569" spans="1:38" s="168" customFormat="1" ht="18.75" customHeight="1">
      <c r="A569" s="359" t="s">
        <v>20</v>
      </c>
      <c r="B569" s="157"/>
      <c r="C569" s="158"/>
      <c r="D569" s="15" t="s">
        <v>837</v>
      </c>
      <c r="E569" s="124" t="s">
        <v>2215</v>
      </c>
      <c r="F569" s="320">
        <v>43676</v>
      </c>
      <c r="G569" s="625"/>
      <c r="H569" s="626"/>
      <c r="I569" s="624"/>
      <c r="J569" s="506" t="s">
        <v>2216</v>
      </c>
      <c r="K569" s="125" t="s">
        <v>2217</v>
      </c>
      <c r="L569" s="133" t="s">
        <v>2218</v>
      </c>
      <c r="M569" s="714">
        <v>3</v>
      </c>
      <c r="N569" s="236" t="s">
        <v>14</v>
      </c>
      <c r="O569" s="235"/>
      <c r="P569" s="90">
        <f t="shared" si="50"/>
        <v>3</v>
      </c>
      <c r="Q569" s="755" t="s">
        <v>2317</v>
      </c>
      <c r="R569" s="726" t="s">
        <v>2386</v>
      </c>
      <c r="S569" s="277" t="s">
        <v>2066</v>
      </c>
      <c r="T569" s="159"/>
      <c r="U569" s="160"/>
      <c r="V569" s="161"/>
      <c r="W569" s="162"/>
      <c r="X569" s="163"/>
      <c r="Y569" s="163"/>
      <c r="Z569" s="164"/>
      <c r="AA569" s="165"/>
      <c r="AB569" s="166"/>
      <c r="AC569" s="167"/>
    </row>
    <row r="570" spans="1:38" s="168" customFormat="1" ht="21.75" customHeight="1">
      <c r="A570" s="359" t="s">
        <v>52</v>
      </c>
      <c r="B570" s="157"/>
      <c r="C570" s="158"/>
      <c r="D570" s="169" t="s">
        <v>990</v>
      </c>
      <c r="E570" s="124" t="s">
        <v>2325</v>
      </c>
      <c r="F570" s="320" t="s">
        <v>2326</v>
      </c>
      <c r="G570" s="625"/>
      <c r="H570" s="626"/>
      <c r="I570" s="624"/>
      <c r="J570" s="506" t="s">
        <v>2327</v>
      </c>
      <c r="K570" s="125" t="s">
        <v>2328</v>
      </c>
      <c r="L570" s="133" t="s">
        <v>2329</v>
      </c>
      <c r="M570" s="370">
        <v>56</v>
      </c>
      <c r="N570" s="127" t="s">
        <v>17</v>
      </c>
      <c r="O570" s="235"/>
      <c r="P570" s="90">
        <f>IF(O570="",M570,M570-O570)</f>
        <v>56</v>
      </c>
      <c r="Q570" s="755" t="s">
        <v>2317</v>
      </c>
      <c r="R570" s="726" t="s">
        <v>2387</v>
      </c>
      <c r="S570" s="383" t="s">
        <v>2330</v>
      </c>
      <c r="T570" s="159"/>
      <c r="U570" s="160"/>
      <c r="V570" s="512"/>
      <c r="W570" s="160"/>
      <c r="X570" s="163"/>
      <c r="Y570" s="163"/>
      <c r="Z570" s="164"/>
      <c r="AA570" s="165"/>
      <c r="AB570" s="166"/>
      <c r="AC570" s="167"/>
    </row>
    <row r="571" spans="1:38" s="168" customFormat="1" ht="21.75" customHeight="1">
      <c r="A571" s="359" t="s">
        <v>20</v>
      </c>
      <c r="B571" s="157"/>
      <c r="C571" s="158"/>
      <c r="D571" s="123" t="s">
        <v>427</v>
      </c>
      <c r="E571" s="124" t="s">
        <v>1273</v>
      </c>
      <c r="F571" s="320">
        <v>43676</v>
      </c>
      <c r="G571" s="625"/>
      <c r="H571" s="626"/>
      <c r="I571" s="624"/>
      <c r="J571" s="506" t="s">
        <v>2203</v>
      </c>
      <c r="K571" s="125" t="s">
        <v>2204</v>
      </c>
      <c r="L571" s="133" t="s">
        <v>6</v>
      </c>
      <c r="M571" s="370">
        <v>36</v>
      </c>
      <c r="N571" s="127" t="s">
        <v>17</v>
      </c>
      <c r="O571" s="235"/>
      <c r="P571" s="90">
        <f t="shared" si="50"/>
        <v>36</v>
      </c>
      <c r="Q571" s="755" t="s">
        <v>2317</v>
      </c>
      <c r="R571" s="726" t="s">
        <v>2387</v>
      </c>
      <c r="S571" s="383">
        <v>44350</v>
      </c>
      <c r="T571" s="159"/>
      <c r="U571" s="160"/>
      <c r="V571" s="512"/>
      <c r="W571" s="160"/>
      <c r="X571" s="163"/>
      <c r="Y571" s="163"/>
      <c r="Z571" s="164"/>
      <c r="AA571" s="165"/>
      <c r="AB571" s="166"/>
      <c r="AC571" s="167"/>
    </row>
    <row r="572" spans="1:38" ht="21.75" customHeight="1">
      <c r="A572" s="377" t="s">
        <v>28</v>
      </c>
      <c r="B572" s="186"/>
      <c r="C572" s="188"/>
      <c r="D572" s="169" t="s">
        <v>1014</v>
      </c>
      <c r="E572" s="124" t="s">
        <v>1380</v>
      </c>
      <c r="F572" s="319" t="s">
        <v>2046</v>
      </c>
      <c r="G572" s="627"/>
      <c r="H572" s="627"/>
      <c r="I572" s="628"/>
      <c r="J572" s="508" t="s">
        <v>530</v>
      </c>
      <c r="K572" s="379" t="s">
        <v>531</v>
      </c>
      <c r="L572" s="125" t="s">
        <v>1381</v>
      </c>
      <c r="M572" s="380">
        <v>1</v>
      </c>
      <c r="N572" s="236" t="s">
        <v>17</v>
      </c>
      <c r="O572" s="235"/>
      <c r="P572" s="90">
        <f t="shared" si="50"/>
        <v>1</v>
      </c>
      <c r="Q572" s="755" t="s">
        <v>2317</v>
      </c>
      <c r="R572" s="726" t="s">
        <v>2387</v>
      </c>
      <c r="S572" s="383" t="s">
        <v>168</v>
      </c>
      <c r="T572" s="27"/>
      <c r="U572" s="81"/>
      <c r="V572" s="82"/>
      <c r="W572" s="81"/>
      <c r="X572" s="63"/>
      <c r="Y572" s="139"/>
      <c r="Z572" s="131"/>
      <c r="AA572" s="140"/>
      <c r="AB572" s="141"/>
      <c r="AC572" s="141"/>
    </row>
    <row r="573" spans="1:38" s="141" customFormat="1" ht="20.25" customHeight="1">
      <c r="A573" s="377" t="s">
        <v>66</v>
      </c>
      <c r="B573" s="186"/>
      <c r="C573" s="188"/>
      <c r="D573" s="249" t="s">
        <v>257</v>
      </c>
      <c r="E573" s="124" t="s">
        <v>1672</v>
      </c>
      <c r="F573" s="378" t="s">
        <v>2031</v>
      </c>
      <c r="G573" s="627"/>
      <c r="H573" s="631"/>
      <c r="I573" s="632"/>
      <c r="J573" s="517" t="s">
        <v>2168</v>
      </c>
      <c r="K573" s="125" t="s">
        <v>1674</v>
      </c>
      <c r="L573" s="125" t="s">
        <v>1675</v>
      </c>
      <c r="M573" s="710">
        <v>18</v>
      </c>
      <c r="N573" s="135" t="s">
        <v>17</v>
      </c>
      <c r="O573" s="235"/>
      <c r="P573" s="90">
        <f t="shared" si="50"/>
        <v>18</v>
      </c>
      <c r="Q573" s="755" t="s">
        <v>2317</v>
      </c>
      <c r="R573" s="726" t="s">
        <v>2387</v>
      </c>
      <c r="S573" s="383" t="s">
        <v>168</v>
      </c>
      <c r="T573" s="27"/>
      <c r="U573" s="81"/>
      <c r="V573" s="82"/>
      <c r="W573" s="81"/>
      <c r="X573" s="63"/>
      <c r="Y573" s="139"/>
      <c r="Z573" s="131"/>
      <c r="AA573" s="140"/>
    </row>
    <row r="574" spans="1:38" ht="20.25" customHeight="1">
      <c r="A574" s="377" t="s">
        <v>66</v>
      </c>
      <c r="D574" s="169" t="s">
        <v>373</v>
      </c>
      <c r="E574" s="124" t="s">
        <v>1483</v>
      </c>
      <c r="F574" s="321" t="s">
        <v>2031</v>
      </c>
      <c r="G574" s="625"/>
      <c r="H574" s="626"/>
      <c r="I574" s="624"/>
      <c r="J574" s="506" t="s">
        <v>2033</v>
      </c>
      <c r="K574" s="125" t="s">
        <v>997</v>
      </c>
      <c r="L574" s="133" t="s">
        <v>1484</v>
      </c>
      <c r="M574" s="714">
        <v>16</v>
      </c>
      <c r="N574" s="171" t="s">
        <v>17</v>
      </c>
      <c r="O574" s="235"/>
      <c r="P574" s="90">
        <f t="shared" si="50"/>
        <v>16</v>
      </c>
      <c r="Q574" s="755" t="s">
        <v>2317</v>
      </c>
      <c r="R574" s="726" t="s">
        <v>2387</v>
      </c>
      <c r="S574" s="288" t="s">
        <v>2034</v>
      </c>
      <c r="T574" s="27"/>
      <c r="U574" s="81"/>
      <c r="V574" s="738"/>
      <c r="W574" s="744"/>
      <c r="X574" s="60"/>
      <c r="Y574" s="60"/>
      <c r="Z574" s="83"/>
      <c r="AA574" s="62"/>
      <c r="AB574" s="142"/>
      <c r="AC574" s="117"/>
    </row>
    <row r="575" spans="1:38" s="168" customFormat="1" ht="21.75" customHeight="1">
      <c r="A575" s="359" t="s">
        <v>52</v>
      </c>
      <c r="B575" s="157"/>
      <c r="C575" s="158"/>
      <c r="D575" s="15" t="s">
        <v>582</v>
      </c>
      <c r="E575" s="124" t="s">
        <v>1384</v>
      </c>
      <c r="F575" s="320" t="s">
        <v>1935</v>
      </c>
      <c r="G575" s="625"/>
      <c r="H575" s="626"/>
      <c r="I575" s="624"/>
      <c r="J575" s="506" t="s">
        <v>2187</v>
      </c>
      <c r="K575" s="125" t="s">
        <v>1393</v>
      </c>
      <c r="L575" s="133" t="s">
        <v>1394</v>
      </c>
      <c r="M575" s="714">
        <v>11</v>
      </c>
      <c r="N575" s="127" t="s">
        <v>17</v>
      </c>
      <c r="O575" s="235"/>
      <c r="P575" s="90">
        <f t="shared" si="50"/>
        <v>11</v>
      </c>
      <c r="Q575" s="755" t="s">
        <v>2317</v>
      </c>
      <c r="R575" s="726" t="s">
        <v>2387</v>
      </c>
      <c r="S575" s="383" t="s">
        <v>2109</v>
      </c>
      <c r="T575" s="159"/>
      <c r="U575" s="160"/>
      <c r="V575" s="512"/>
      <c r="W575" s="160"/>
      <c r="X575" s="163"/>
      <c r="Y575" s="163"/>
      <c r="Z575" s="164"/>
      <c r="AA575" s="165"/>
      <c r="AB575" s="166"/>
      <c r="AC575" s="167"/>
    </row>
    <row r="576" spans="1:38" s="649" customFormat="1" ht="20.25">
      <c r="A576" s="359" t="s">
        <v>52</v>
      </c>
      <c r="B576" s="661"/>
      <c r="C576" s="662"/>
      <c r="D576" s="169" t="s">
        <v>495</v>
      </c>
      <c r="E576" s="124" t="s">
        <v>1384</v>
      </c>
      <c r="F576" s="320"/>
      <c r="G576" s="625"/>
      <c r="H576" s="626"/>
      <c r="I576" s="632"/>
      <c r="J576" s="506" t="s">
        <v>2254</v>
      </c>
      <c r="K576" s="125" t="s">
        <v>1393</v>
      </c>
      <c r="L576" s="133" t="s">
        <v>1394</v>
      </c>
      <c r="M576" s="370">
        <v>1</v>
      </c>
      <c r="N576" s="127" t="s">
        <v>17</v>
      </c>
      <c r="O576" s="663"/>
      <c r="P576" s="90">
        <f t="shared" si="50"/>
        <v>1</v>
      </c>
      <c r="Q576" s="755" t="s">
        <v>2317</v>
      </c>
      <c r="R576" s="726" t="s">
        <v>2387</v>
      </c>
      <c r="S576" s="383">
        <v>43986</v>
      </c>
      <c r="T576" s="159"/>
      <c r="U576" s="160"/>
      <c r="V576" s="664"/>
      <c r="W576" s="665"/>
      <c r="X576" s="666"/>
      <c r="Y576" s="666"/>
      <c r="Z576" s="667"/>
      <c r="AA576" s="668"/>
      <c r="AB576" s="669"/>
      <c r="AC576" s="670"/>
      <c r="AD576" s="671"/>
      <c r="AE576" s="671"/>
      <c r="AF576" s="671"/>
      <c r="AG576" s="671"/>
      <c r="AH576" s="671"/>
      <c r="AI576" s="671"/>
      <c r="AJ576" s="671"/>
      <c r="AK576" s="671"/>
      <c r="AL576" s="671"/>
    </row>
    <row r="577" spans="1:29" ht="20.25" customHeight="1">
      <c r="A577" s="359" t="s">
        <v>52</v>
      </c>
      <c r="C577" s="84"/>
      <c r="D577" s="169" t="s">
        <v>529</v>
      </c>
      <c r="E577" s="124" t="s">
        <v>2091</v>
      </c>
      <c r="F577" s="323" t="s">
        <v>2085</v>
      </c>
      <c r="G577" s="627"/>
      <c r="H577" s="631"/>
      <c r="I577" s="624"/>
      <c r="J577" s="506" t="s">
        <v>2097</v>
      </c>
      <c r="K577" s="125" t="s">
        <v>2095</v>
      </c>
      <c r="L577" s="133" t="s">
        <v>2096</v>
      </c>
      <c r="M577" s="370">
        <v>0.25</v>
      </c>
      <c r="N577" s="171" t="s">
        <v>17</v>
      </c>
      <c r="O577" s="235"/>
      <c r="P577" s="90">
        <f t="shared" si="50"/>
        <v>0.25</v>
      </c>
      <c r="Q577" s="755" t="s">
        <v>2317</v>
      </c>
      <c r="R577" s="726" t="s">
        <v>2387</v>
      </c>
      <c r="S577" s="288" t="s">
        <v>2066</v>
      </c>
      <c r="T577" s="54"/>
      <c r="U577" s="73"/>
      <c r="V577" s="74"/>
      <c r="W577" s="73"/>
      <c r="X577" s="66"/>
      <c r="Y577" s="66"/>
      <c r="Z577" s="67"/>
      <c r="AA577" s="68"/>
      <c r="AB577" s="142"/>
      <c r="AC577" s="117"/>
    </row>
    <row r="578" spans="1:29" ht="20.25" customHeight="1">
      <c r="A578" s="359" t="s">
        <v>66</v>
      </c>
      <c r="D578" s="51" t="s">
        <v>565</v>
      </c>
      <c r="E578" s="536" t="s">
        <v>1518</v>
      </c>
      <c r="F578" s="612" t="s">
        <v>1918</v>
      </c>
      <c r="G578" s="625"/>
      <c r="H578" s="626"/>
      <c r="I578" s="624"/>
      <c r="J578" s="610" t="s">
        <v>1921</v>
      </c>
      <c r="K578" s="541" t="s">
        <v>1520</v>
      </c>
      <c r="L578" s="252" t="s">
        <v>1521</v>
      </c>
      <c r="M578" s="602">
        <v>4</v>
      </c>
      <c r="N578" s="760" t="s">
        <v>1657</v>
      </c>
      <c r="O578" s="537">
        <v>4</v>
      </c>
      <c r="P578" s="603">
        <f t="shared" si="50"/>
        <v>0</v>
      </c>
      <c r="Q578" s="326" t="s">
        <v>2388</v>
      </c>
      <c r="R578" s="726" t="s">
        <v>2389</v>
      </c>
      <c r="S578" s="288" t="s">
        <v>1900</v>
      </c>
      <c r="T578" s="27"/>
      <c r="U578" s="81"/>
      <c r="V578" s="82"/>
      <c r="W578" s="81"/>
      <c r="X578" s="60"/>
      <c r="Y578" s="60"/>
      <c r="Z578" s="83"/>
      <c r="AA578" s="62"/>
      <c r="AB578" s="142"/>
      <c r="AC578" s="117"/>
    </row>
    <row r="579" spans="1:29" s="168" customFormat="1" ht="21.75" customHeight="1">
      <c r="A579" s="359" t="s">
        <v>2074</v>
      </c>
      <c r="B579" s="157"/>
      <c r="C579" s="158"/>
      <c r="D579" s="51" t="s">
        <v>783</v>
      </c>
      <c r="E579" s="536" t="s">
        <v>1643</v>
      </c>
      <c r="F579" s="601">
        <v>43468</v>
      </c>
      <c r="G579" s="625"/>
      <c r="H579" s="626"/>
      <c r="I579" s="624"/>
      <c r="J579" s="610" t="s">
        <v>1647</v>
      </c>
      <c r="K579" s="541" t="s">
        <v>1651</v>
      </c>
      <c r="L579" s="252" t="s">
        <v>1659</v>
      </c>
      <c r="M579" s="764">
        <v>10</v>
      </c>
      <c r="N579" s="547" t="s">
        <v>1660</v>
      </c>
      <c r="O579" s="537">
        <v>10</v>
      </c>
      <c r="P579" s="603">
        <f t="shared" si="50"/>
        <v>0</v>
      </c>
      <c r="Q579" s="326" t="s">
        <v>2388</v>
      </c>
      <c r="R579" s="726" t="s">
        <v>2390</v>
      </c>
      <c r="S579" s="383" t="s">
        <v>168</v>
      </c>
      <c r="T579" s="159"/>
      <c r="U579" s="160"/>
      <c r="V579" s="512"/>
      <c r="W579" s="160"/>
      <c r="X579" s="163"/>
      <c r="Y579" s="163"/>
      <c r="Z579" s="164"/>
      <c r="AA579" s="165"/>
      <c r="AB579" s="166"/>
      <c r="AC579" s="167"/>
    </row>
    <row r="580" spans="1:29" s="168" customFormat="1" ht="20.25">
      <c r="A580" s="359" t="s">
        <v>28</v>
      </c>
      <c r="B580" s="157"/>
      <c r="C580" s="158"/>
      <c r="D580" s="51" t="s">
        <v>450</v>
      </c>
      <c r="E580" s="536" t="s">
        <v>1974</v>
      </c>
      <c r="F580" s="601">
        <v>43678</v>
      </c>
      <c r="G580" s="625"/>
      <c r="H580" s="626"/>
      <c r="I580" s="624"/>
      <c r="J580" s="610" t="s">
        <v>1712</v>
      </c>
      <c r="K580" s="541" t="s">
        <v>1713</v>
      </c>
      <c r="L580" s="252" t="s">
        <v>1395</v>
      </c>
      <c r="M580" s="602">
        <v>1</v>
      </c>
      <c r="N580" s="547" t="s">
        <v>17</v>
      </c>
      <c r="O580" s="537">
        <v>1</v>
      </c>
      <c r="P580" s="603">
        <f t="shared" si="50"/>
        <v>0</v>
      </c>
      <c r="Q580" s="326" t="s">
        <v>2388</v>
      </c>
      <c r="R580" s="726" t="s">
        <v>2391</v>
      </c>
      <c r="S580" s="277" t="s">
        <v>168</v>
      </c>
      <c r="T580" s="159"/>
      <c r="U580" s="160"/>
      <c r="V580" s="664"/>
      <c r="W580" s="665"/>
      <c r="X580" s="163"/>
      <c r="Y580" s="163"/>
      <c r="Z580" s="164"/>
      <c r="AA580" s="165"/>
      <c r="AB580" s="166"/>
      <c r="AC580" s="167"/>
    </row>
    <row r="581" spans="1:29" s="141" customFormat="1" ht="20.25" customHeight="1">
      <c r="A581" s="377" t="s">
        <v>28</v>
      </c>
      <c r="B581" s="186"/>
      <c r="C581" s="188"/>
      <c r="D581" s="85" t="s">
        <v>639</v>
      </c>
      <c r="E581" s="536" t="s">
        <v>2011</v>
      </c>
      <c r="F581" s="757" t="s">
        <v>2009</v>
      </c>
      <c r="G581" s="627"/>
      <c r="H581" s="631"/>
      <c r="I581" s="632"/>
      <c r="J581" s="756" t="s">
        <v>1569</v>
      </c>
      <c r="K581" s="541" t="s">
        <v>542</v>
      </c>
      <c r="L581" s="541" t="s">
        <v>357</v>
      </c>
      <c r="M581" s="768">
        <v>1</v>
      </c>
      <c r="N581" s="763" t="s">
        <v>17</v>
      </c>
      <c r="O581" s="537">
        <v>1</v>
      </c>
      <c r="P581" s="603">
        <f t="shared" si="50"/>
        <v>0</v>
      </c>
      <c r="Q581" s="326" t="s">
        <v>2388</v>
      </c>
      <c r="R581" s="726" t="s">
        <v>2391</v>
      </c>
      <c r="S581" s="383" t="s">
        <v>2010</v>
      </c>
      <c r="T581" s="27"/>
      <c r="U581" s="81"/>
      <c r="V581" s="738"/>
      <c r="W581" s="744"/>
      <c r="X581" s="63"/>
      <c r="Y581" s="139"/>
      <c r="Z581" s="131"/>
      <c r="AA581" s="140"/>
    </row>
    <row r="582" spans="1:29" ht="21.75" customHeight="1">
      <c r="A582" s="377" t="s">
        <v>28</v>
      </c>
      <c r="B582" s="186"/>
      <c r="C582" s="188"/>
      <c r="D582" s="85" t="s">
        <v>503</v>
      </c>
      <c r="E582" s="536" t="s">
        <v>1567</v>
      </c>
      <c r="F582" s="538">
        <v>43678</v>
      </c>
      <c r="G582" s="627"/>
      <c r="H582" s="627"/>
      <c r="I582" s="628"/>
      <c r="J582" s="539" t="s">
        <v>1565</v>
      </c>
      <c r="K582" s="540" t="s">
        <v>1566</v>
      </c>
      <c r="L582" s="541" t="s">
        <v>7</v>
      </c>
      <c r="M582" s="542">
        <v>8</v>
      </c>
      <c r="N582" s="547" t="s">
        <v>17</v>
      </c>
      <c r="O582" s="537">
        <v>8</v>
      </c>
      <c r="P582" s="603">
        <f t="shared" si="50"/>
        <v>0</v>
      </c>
      <c r="Q582" s="326" t="s">
        <v>2388</v>
      </c>
      <c r="R582" s="726" t="s">
        <v>2392</v>
      </c>
      <c r="S582" s="383">
        <v>43888</v>
      </c>
      <c r="T582" s="27"/>
      <c r="U582" s="81"/>
      <c r="V582" s="82"/>
      <c r="W582" s="81"/>
      <c r="X582" s="63"/>
      <c r="Y582" s="139"/>
      <c r="Z582" s="131"/>
      <c r="AA582" s="140"/>
      <c r="AB582" s="141"/>
      <c r="AC582" s="141"/>
    </row>
    <row r="583" spans="1:29" s="168" customFormat="1" ht="18.75" customHeight="1">
      <c r="A583" s="359" t="s">
        <v>71</v>
      </c>
      <c r="B583" s="157"/>
      <c r="C583" s="158"/>
      <c r="D583" s="51" t="s">
        <v>101</v>
      </c>
      <c r="E583" s="536" t="s">
        <v>1644</v>
      </c>
      <c r="F583" s="601">
        <v>43468</v>
      </c>
      <c r="G583" s="625"/>
      <c r="H583" s="626"/>
      <c r="I583" s="624"/>
      <c r="J583" s="610" t="s">
        <v>1648</v>
      </c>
      <c r="K583" s="541" t="s">
        <v>1652</v>
      </c>
      <c r="L583" s="252" t="s">
        <v>1661</v>
      </c>
      <c r="M583" s="602">
        <v>1</v>
      </c>
      <c r="N583" s="547" t="s">
        <v>1660</v>
      </c>
      <c r="O583" s="537">
        <v>1</v>
      </c>
      <c r="P583" s="603">
        <f t="shared" si="50"/>
        <v>0</v>
      </c>
      <c r="Q583" s="326" t="s">
        <v>2388</v>
      </c>
      <c r="R583" s="726" t="s">
        <v>2391</v>
      </c>
      <c r="S583" s="383" t="s">
        <v>168</v>
      </c>
      <c r="T583" s="159"/>
      <c r="U583" s="160"/>
      <c r="V583" s="664"/>
      <c r="W583" s="665"/>
      <c r="X583" s="163"/>
      <c r="Y583" s="163"/>
      <c r="Z583" s="164"/>
      <c r="AA583" s="165"/>
      <c r="AB583" s="166"/>
      <c r="AC583" s="167"/>
    </row>
    <row r="584" spans="1:29" ht="20.25" customHeight="1">
      <c r="A584" s="359" t="s">
        <v>28</v>
      </c>
      <c r="C584" s="84"/>
      <c r="D584" s="85" t="s">
        <v>518</v>
      </c>
      <c r="E584" s="536" t="s">
        <v>1914</v>
      </c>
      <c r="F584" s="757">
        <v>43678</v>
      </c>
      <c r="G584" s="627"/>
      <c r="H584" s="631"/>
      <c r="I584" s="624"/>
      <c r="J584" s="610" t="s">
        <v>2224</v>
      </c>
      <c r="K584" s="541" t="s">
        <v>2225</v>
      </c>
      <c r="L584" s="252" t="s">
        <v>348</v>
      </c>
      <c r="M584" s="602">
        <v>8</v>
      </c>
      <c r="N584" s="547" t="s">
        <v>17</v>
      </c>
      <c r="O584" s="537">
        <v>8</v>
      </c>
      <c r="P584" s="603">
        <f t="shared" si="50"/>
        <v>0</v>
      </c>
      <c r="Q584" s="326" t="s">
        <v>2388</v>
      </c>
      <c r="R584" s="726" t="s">
        <v>2392</v>
      </c>
      <c r="S584" s="383">
        <v>43853</v>
      </c>
      <c r="T584" s="54"/>
      <c r="U584" s="73"/>
      <c r="V584" s="74"/>
      <c r="W584" s="73"/>
      <c r="X584" s="66"/>
      <c r="Y584" s="66"/>
      <c r="Z584" s="67"/>
      <c r="AA584" s="68"/>
      <c r="AB584" s="142"/>
      <c r="AC584" s="117"/>
    </row>
    <row r="585" spans="1:29" ht="21.75" customHeight="1">
      <c r="A585" s="377" t="s">
        <v>28</v>
      </c>
      <c r="B585" s="186"/>
      <c r="C585" s="188"/>
      <c r="D585" s="51" t="s">
        <v>990</v>
      </c>
      <c r="E585" s="536" t="s">
        <v>1468</v>
      </c>
      <c r="F585" s="538">
        <v>43686</v>
      </c>
      <c r="G585" s="627"/>
      <c r="H585" s="627"/>
      <c r="I585" s="628"/>
      <c r="J585" s="539" t="s">
        <v>1469</v>
      </c>
      <c r="K585" s="540" t="s">
        <v>772</v>
      </c>
      <c r="L585" s="541" t="s">
        <v>2271</v>
      </c>
      <c r="M585" s="542">
        <v>0.25</v>
      </c>
      <c r="N585" s="547" t="s">
        <v>17</v>
      </c>
      <c r="O585" s="537">
        <v>0.25</v>
      </c>
      <c r="P585" s="603">
        <f t="shared" si="50"/>
        <v>0</v>
      </c>
      <c r="Q585" s="754" t="s">
        <v>2393</v>
      </c>
      <c r="R585" s="726" t="s">
        <v>2394</v>
      </c>
      <c r="S585" s="383" t="s">
        <v>168</v>
      </c>
      <c r="T585" s="27"/>
      <c r="U585" s="81"/>
      <c r="V585" s="82"/>
      <c r="W585" s="81"/>
      <c r="X585" s="63"/>
      <c r="Y585" s="139"/>
      <c r="Z585" s="131"/>
      <c r="AA585" s="140"/>
      <c r="AB585" s="141"/>
      <c r="AC585" s="141"/>
    </row>
    <row r="586" spans="1:29" s="141" customFormat="1" ht="20.25" customHeight="1">
      <c r="A586" s="377" t="s">
        <v>66</v>
      </c>
      <c r="B586" s="186"/>
      <c r="C586" s="188"/>
      <c r="D586" s="51" t="s">
        <v>700</v>
      </c>
      <c r="E586" s="536" t="s">
        <v>896</v>
      </c>
      <c r="F586" s="538" t="s">
        <v>2031</v>
      </c>
      <c r="G586" s="627"/>
      <c r="H586" s="631"/>
      <c r="I586" s="632"/>
      <c r="J586" s="756" t="s">
        <v>2115</v>
      </c>
      <c r="K586" s="541" t="s">
        <v>995</v>
      </c>
      <c r="L586" s="541" t="s">
        <v>8</v>
      </c>
      <c r="M586" s="768">
        <v>18</v>
      </c>
      <c r="N586" s="763" t="s">
        <v>17</v>
      </c>
      <c r="O586" s="537">
        <v>18</v>
      </c>
      <c r="P586" s="603">
        <f t="shared" si="50"/>
        <v>0</v>
      </c>
      <c r="Q586" s="754" t="s">
        <v>2393</v>
      </c>
      <c r="R586" s="726" t="s">
        <v>2395</v>
      </c>
      <c r="S586" s="383" t="s">
        <v>2032</v>
      </c>
      <c r="T586" s="27"/>
      <c r="U586" s="81"/>
      <c r="V586" s="82"/>
      <c r="W586" s="81"/>
      <c r="X586" s="63"/>
      <c r="Y586" s="139"/>
      <c r="Z586" s="131"/>
      <c r="AA586" s="140"/>
    </row>
    <row r="587" spans="1:29" s="141" customFormat="1" ht="21" customHeight="1">
      <c r="A587" s="359" t="s">
        <v>28</v>
      </c>
      <c r="C587" s="176"/>
      <c r="D587" s="85" t="s">
        <v>587</v>
      </c>
      <c r="E587" s="536" t="s">
        <v>1488</v>
      </c>
      <c r="F587" s="757">
        <v>43542</v>
      </c>
      <c r="G587" s="629"/>
      <c r="H587" s="630"/>
      <c r="I587" s="624"/>
      <c r="J587" s="770" t="s">
        <v>1489</v>
      </c>
      <c r="K587" s="771" t="s">
        <v>1490</v>
      </c>
      <c r="L587" s="252" t="s">
        <v>1491</v>
      </c>
      <c r="M587" s="767">
        <v>1</v>
      </c>
      <c r="N587" s="547" t="s">
        <v>17</v>
      </c>
      <c r="O587" s="537">
        <v>1</v>
      </c>
      <c r="P587" s="603">
        <f t="shared" si="50"/>
        <v>0</v>
      </c>
      <c r="Q587" s="754" t="s">
        <v>2393</v>
      </c>
      <c r="R587" s="726" t="s">
        <v>2396</v>
      </c>
      <c r="S587" s="383">
        <v>43985</v>
      </c>
      <c r="T587"/>
      <c r="U587"/>
      <c r="V587"/>
      <c r="W587"/>
      <c r="X587" s="256"/>
      <c r="Y587" s="63"/>
      <c r="Z587" s="257"/>
      <c r="AA587" s="65"/>
      <c r="AB587"/>
      <c r="AC587"/>
    </row>
    <row r="588" spans="1:29" s="168" customFormat="1" ht="20.25">
      <c r="A588" s="377" t="s">
        <v>28</v>
      </c>
      <c r="B588" s="157"/>
      <c r="C588" s="158"/>
      <c r="D588" s="51" t="s">
        <v>467</v>
      </c>
      <c r="E588" s="536" t="s">
        <v>1482</v>
      </c>
      <c r="F588" s="601">
        <v>43657</v>
      </c>
      <c r="G588" s="625"/>
      <c r="H588" s="626"/>
      <c r="I588" s="624"/>
      <c r="J588" s="610" t="s">
        <v>1479</v>
      </c>
      <c r="K588" s="541" t="s">
        <v>1480</v>
      </c>
      <c r="L588" s="252" t="s">
        <v>1481</v>
      </c>
      <c r="M588" s="602">
        <v>1</v>
      </c>
      <c r="N588" s="547" t="s">
        <v>17</v>
      </c>
      <c r="O588" s="537">
        <v>1</v>
      </c>
      <c r="P588" s="603">
        <f t="shared" si="50"/>
        <v>0</v>
      </c>
      <c r="Q588" s="754" t="s">
        <v>2393</v>
      </c>
      <c r="R588" s="726" t="s">
        <v>2396</v>
      </c>
      <c r="S588" s="277" t="s">
        <v>168</v>
      </c>
      <c r="T588" s="159"/>
      <c r="U588" s="160"/>
      <c r="V588" s="664"/>
      <c r="W588" s="665"/>
      <c r="X588" s="163"/>
      <c r="Y588" s="163"/>
      <c r="Z588" s="164"/>
      <c r="AA588" s="165"/>
      <c r="AB588" s="166"/>
      <c r="AC588" s="167"/>
    </row>
    <row r="589" spans="1:29" s="168" customFormat="1" ht="21.75" customHeight="1">
      <c r="A589" s="359" t="s">
        <v>20</v>
      </c>
      <c r="B589" s="157"/>
      <c r="C589" s="158"/>
      <c r="D589" s="85" t="s">
        <v>463</v>
      </c>
      <c r="E589" s="536" t="s">
        <v>2205</v>
      </c>
      <c r="F589" s="601">
        <v>43676</v>
      </c>
      <c r="G589" s="625"/>
      <c r="H589" s="626"/>
      <c r="I589" s="624" t="s">
        <v>2319</v>
      </c>
      <c r="J589" s="610" t="s">
        <v>2206</v>
      </c>
      <c r="K589" s="541" t="s">
        <v>341</v>
      </c>
      <c r="L589" s="252" t="s">
        <v>6</v>
      </c>
      <c r="M589" s="764">
        <v>15</v>
      </c>
      <c r="N589" s="547" t="s">
        <v>17</v>
      </c>
      <c r="O589" s="537">
        <v>15</v>
      </c>
      <c r="P589" s="603">
        <f t="shared" si="50"/>
        <v>0</v>
      </c>
      <c r="Q589" s="754" t="s">
        <v>2393</v>
      </c>
      <c r="R589" s="726" t="s">
        <v>2397</v>
      </c>
      <c r="S589" s="383">
        <v>44350</v>
      </c>
      <c r="T589" s="159"/>
      <c r="U589" s="160"/>
      <c r="V589" s="512"/>
      <c r="W589" s="160"/>
      <c r="X589" s="163"/>
      <c r="Y589" s="163"/>
      <c r="Z589" s="164"/>
      <c r="AA589" s="165"/>
      <c r="AB589" s="166"/>
      <c r="AC589" s="167"/>
    </row>
    <row r="590" spans="1:29" ht="21.75" customHeight="1">
      <c r="A590" s="377" t="s">
        <v>28</v>
      </c>
      <c r="B590" s="186"/>
      <c r="C590" s="188"/>
      <c r="D590" s="51" t="s">
        <v>990</v>
      </c>
      <c r="E590" s="536" t="s">
        <v>2269</v>
      </c>
      <c r="F590" s="538">
        <v>43685</v>
      </c>
      <c r="G590" s="627"/>
      <c r="H590" s="627"/>
      <c r="I590" s="628"/>
      <c r="J590" s="539" t="s">
        <v>2267</v>
      </c>
      <c r="K590" s="540" t="s">
        <v>1270</v>
      </c>
      <c r="L590" s="541" t="s">
        <v>2268</v>
      </c>
      <c r="M590" s="542">
        <v>1</v>
      </c>
      <c r="N590" s="547" t="s">
        <v>17</v>
      </c>
      <c r="O590" s="537">
        <v>1</v>
      </c>
      <c r="P590" s="603">
        <f t="shared" si="50"/>
        <v>0</v>
      </c>
      <c r="Q590" s="754" t="s">
        <v>2393</v>
      </c>
      <c r="R590" s="726" t="s">
        <v>2398</v>
      </c>
      <c r="S590" s="383" t="s">
        <v>2143</v>
      </c>
      <c r="T590" s="27"/>
      <c r="U590" s="81"/>
      <c r="V590" s="82"/>
      <c r="W590" s="81"/>
      <c r="X590" s="63"/>
      <c r="Y590" s="139"/>
      <c r="Z590" s="131"/>
      <c r="AA590" s="140"/>
      <c r="AB590" s="141"/>
      <c r="AC590" s="141"/>
    </row>
    <row r="591" spans="1:29" ht="20.25" customHeight="1">
      <c r="A591" s="359" t="s">
        <v>66</v>
      </c>
      <c r="D591" s="51" t="s">
        <v>654</v>
      </c>
      <c r="E591" s="536" t="s">
        <v>140</v>
      </c>
      <c r="F591" s="612" t="s">
        <v>1918</v>
      </c>
      <c r="G591" s="625"/>
      <c r="H591" s="626"/>
      <c r="I591" s="624"/>
      <c r="J591" s="610" t="s">
        <v>1919</v>
      </c>
      <c r="K591" s="541" t="s">
        <v>1001</v>
      </c>
      <c r="L591" s="252" t="s">
        <v>81</v>
      </c>
      <c r="M591" s="602">
        <v>4</v>
      </c>
      <c r="N591" s="760" t="s">
        <v>17</v>
      </c>
      <c r="O591" s="537">
        <v>4</v>
      </c>
      <c r="P591" s="603">
        <f t="shared" si="50"/>
        <v>0</v>
      </c>
      <c r="Q591" s="754" t="s">
        <v>2393</v>
      </c>
      <c r="R591" s="726" t="s">
        <v>2399</v>
      </c>
      <c r="S591" s="288" t="s">
        <v>1897</v>
      </c>
      <c r="T591" s="27"/>
      <c r="U591" s="81"/>
      <c r="V591" s="738"/>
      <c r="W591" s="744"/>
      <c r="X591" s="60"/>
      <c r="Y591" s="60"/>
      <c r="Z591" s="83"/>
      <c r="AA591" s="62"/>
      <c r="AB591" s="142"/>
      <c r="AC591" s="117"/>
    </row>
    <row r="592" spans="1:29" s="141" customFormat="1" ht="20.25" customHeight="1">
      <c r="A592" s="377" t="s">
        <v>20</v>
      </c>
      <c r="B592" s="186"/>
      <c r="C592" s="188"/>
      <c r="D592" s="51" t="s">
        <v>534</v>
      </c>
      <c r="E592" s="536" t="s">
        <v>72</v>
      </c>
      <c r="F592" s="538" t="s">
        <v>1922</v>
      </c>
      <c r="G592" s="627"/>
      <c r="H592" s="631"/>
      <c r="I592" s="632"/>
      <c r="J592" s="756" t="s">
        <v>2262</v>
      </c>
      <c r="K592" s="541" t="s">
        <v>13</v>
      </c>
      <c r="L592" s="541" t="s">
        <v>11</v>
      </c>
      <c r="M592" s="762">
        <v>20</v>
      </c>
      <c r="N592" s="763" t="s">
        <v>17</v>
      </c>
      <c r="O592" s="537">
        <v>20</v>
      </c>
      <c r="P592" s="603">
        <f t="shared" si="50"/>
        <v>0</v>
      </c>
      <c r="Q592" s="754" t="s">
        <v>2393</v>
      </c>
      <c r="R592" s="726" t="s">
        <v>2400</v>
      </c>
      <c r="S592" s="383" t="s">
        <v>1846</v>
      </c>
      <c r="T592" s="27"/>
      <c r="U592" s="81"/>
      <c r="V592" s="82"/>
      <c r="W592" s="81"/>
      <c r="X592" s="63"/>
      <c r="Y592" s="139"/>
      <c r="Z592" s="131"/>
      <c r="AA592" s="140"/>
    </row>
    <row r="593" spans="1:29" s="129" customFormat="1" ht="20.25" customHeight="1">
      <c r="A593" s="359"/>
      <c r="B593"/>
      <c r="C593" s="84"/>
      <c r="D593" s="133"/>
      <c r="E593" s="124"/>
      <c r="F593" s="320"/>
      <c r="G593" s="625"/>
      <c r="H593" s="626"/>
      <c r="I593" s="624"/>
      <c r="J593" s="718"/>
      <c r="K593" s="125"/>
      <c r="L593" s="133"/>
      <c r="M593" s="370"/>
      <c r="N593" s="135"/>
      <c r="O593" s="235"/>
      <c r="P593" s="90"/>
      <c r="Q593" s="283"/>
      <c r="R593" s="726"/>
      <c r="S593" s="287"/>
      <c r="T593" s="197"/>
      <c r="U593" s="203"/>
      <c r="V593" s="205"/>
      <c r="W593" s="205"/>
      <c r="X593" s="198"/>
      <c r="Y593" s="198"/>
      <c r="Z593" s="199"/>
      <c r="AA593" s="200"/>
      <c r="AB593" s="191"/>
      <c r="AC593" s="192"/>
    </row>
    <row r="594" spans="1:29" ht="22.5" customHeight="1">
      <c r="A594" s="377"/>
      <c r="B594" s="186"/>
      <c r="C594" s="188"/>
      <c r="D594" s="500"/>
      <c r="E594" s="500"/>
      <c r="F594" s="501" t="s">
        <v>144</v>
      </c>
      <c r="G594" s="640"/>
      <c r="H594" s="641"/>
      <c r="I594" s="624"/>
      <c r="J594" s="500" t="s">
        <v>1322</v>
      </c>
      <c r="K594" s="500" t="s">
        <v>1321</v>
      </c>
      <c r="L594" s="500"/>
      <c r="M594" s="502" t="s">
        <v>1325</v>
      </c>
      <c r="N594" s="500"/>
      <c r="O594" s="235"/>
      <c r="P594" s="503" t="str">
        <f>IF(O594="",M594,M594-O594)</f>
        <v>INWARD NO</v>
      </c>
      <c r="Q594" s="504" t="s">
        <v>1324</v>
      </c>
      <c r="R594" s="527"/>
      <c r="S594" s="505"/>
      <c r="T594" s="27"/>
      <c r="U594" s="81"/>
      <c r="V594" s="82"/>
      <c r="W594" s="81"/>
      <c r="X594" s="63"/>
      <c r="Y594" s="139"/>
      <c r="Z594" s="131">
        <v>2080</v>
      </c>
      <c r="AA594" s="140"/>
      <c r="AB594" s="141"/>
      <c r="AC594" s="141"/>
    </row>
    <row r="595" spans="1:29" ht="22.5" customHeight="1">
      <c r="A595" s="377"/>
      <c r="B595" s="186"/>
      <c r="C595" s="188"/>
      <c r="D595" s="500"/>
      <c r="E595" s="500"/>
      <c r="F595" s="501"/>
      <c r="G595" s="640"/>
      <c r="H595" s="641"/>
      <c r="I595" s="624"/>
      <c r="J595" s="500"/>
      <c r="K595" s="500"/>
      <c r="L595" s="500"/>
      <c r="M595" s="728"/>
      <c r="N595" s="500"/>
      <c r="O595" s="235"/>
      <c r="P595" s="503"/>
      <c r="Q595" s="504"/>
      <c r="R595" s="527"/>
      <c r="S595" s="505"/>
      <c r="T595" s="27"/>
      <c r="U595" s="81"/>
      <c r="V595" s="82"/>
      <c r="W595" s="81"/>
      <c r="X595" s="63"/>
      <c r="Y595" s="139"/>
      <c r="Z595" s="131"/>
      <c r="AA595" s="140"/>
      <c r="AB595" s="141"/>
      <c r="AC595" s="141"/>
    </row>
    <row r="596" spans="1:29" ht="20.25" customHeight="1">
      <c r="A596" s="359" t="s">
        <v>71</v>
      </c>
      <c r="D596" s="567"/>
      <c r="E596" s="568" t="s">
        <v>649</v>
      </c>
      <c r="F596" s="683">
        <v>43691</v>
      </c>
      <c r="G596" s="625"/>
      <c r="H596" s="626"/>
      <c r="I596" s="624"/>
      <c r="J596" s="570" t="s">
        <v>2402</v>
      </c>
      <c r="K596" s="571" t="s">
        <v>1313</v>
      </c>
      <c r="L596" s="572" t="s">
        <v>7</v>
      </c>
      <c r="M596" s="573">
        <v>486</v>
      </c>
      <c r="N596" s="684" t="s">
        <v>14</v>
      </c>
      <c r="O596" s="574"/>
      <c r="P596" s="684"/>
      <c r="Q596" s="685"/>
      <c r="R596" s="576"/>
      <c r="S596" s="686">
        <v>44027</v>
      </c>
      <c r="T596" s="27"/>
      <c r="U596" s="81"/>
      <c r="V596" s="82"/>
      <c r="W596" s="81"/>
      <c r="X596" s="60"/>
      <c r="Y596" s="60"/>
      <c r="Z596" s="83"/>
      <c r="AA596" s="62"/>
      <c r="AB596" s="142"/>
      <c r="AC596" s="117"/>
    </row>
    <row r="597" spans="1:29" ht="20.25" customHeight="1">
      <c r="A597" s="359" t="s">
        <v>71</v>
      </c>
      <c r="D597" s="567"/>
      <c r="E597" s="568" t="s">
        <v>2405</v>
      </c>
      <c r="F597" s="683">
        <v>43691</v>
      </c>
      <c r="G597" s="625"/>
      <c r="H597" s="626"/>
      <c r="I597" s="624"/>
      <c r="J597" s="570" t="s">
        <v>2403</v>
      </c>
      <c r="K597" s="571" t="s">
        <v>2404</v>
      </c>
      <c r="L597" s="572" t="s">
        <v>7</v>
      </c>
      <c r="M597" s="725">
        <v>5</v>
      </c>
      <c r="N597" s="684" t="s">
        <v>14</v>
      </c>
      <c r="O597" s="574"/>
      <c r="P597" s="684"/>
      <c r="Q597" s="685"/>
      <c r="R597" s="576"/>
      <c r="S597" s="686">
        <v>44027</v>
      </c>
      <c r="T597" s="27"/>
      <c r="U597" s="81"/>
      <c r="V597" s="82"/>
      <c r="W597" s="81"/>
      <c r="X597" s="60"/>
      <c r="Y597" s="60"/>
      <c r="Z597" s="83"/>
      <c r="AA597" s="62"/>
      <c r="AB597" s="142"/>
      <c r="AC597" s="117"/>
    </row>
    <row r="598" spans="1:29" ht="20.25" customHeight="1">
      <c r="A598" s="359" t="s">
        <v>71</v>
      </c>
      <c r="D598" s="51"/>
      <c r="E598" s="568" t="s">
        <v>169</v>
      </c>
      <c r="F598" s="683">
        <v>43691</v>
      </c>
      <c r="G598" s="625"/>
      <c r="H598" s="626"/>
      <c r="I598" s="624"/>
      <c r="J598" s="610" t="s">
        <v>2406</v>
      </c>
      <c r="K598" s="541" t="s">
        <v>1406</v>
      </c>
      <c r="L598" s="252" t="s">
        <v>7</v>
      </c>
      <c r="M598" s="602">
        <v>704</v>
      </c>
      <c r="N598" s="684" t="s">
        <v>14</v>
      </c>
      <c r="O598" s="537"/>
      <c r="P598" s="684"/>
      <c r="Q598" s="685"/>
      <c r="R598" s="576"/>
      <c r="S598" s="686">
        <v>44027</v>
      </c>
      <c r="T598" s="27"/>
      <c r="U598" s="81"/>
      <c r="V598" s="82"/>
      <c r="W598" s="81"/>
      <c r="X598" s="60"/>
      <c r="Y598" s="60"/>
      <c r="Z598" s="83"/>
      <c r="AA598" s="62"/>
      <c r="AB598" s="142"/>
      <c r="AC598" s="117"/>
    </row>
    <row r="599" spans="1:29" ht="20.25" customHeight="1">
      <c r="A599" s="359" t="s">
        <v>71</v>
      </c>
      <c r="D599" s="567"/>
      <c r="E599" s="568" t="s">
        <v>2407</v>
      </c>
      <c r="F599" s="683">
        <v>43691</v>
      </c>
      <c r="G599" s="625"/>
      <c r="H599" s="626"/>
      <c r="I599" s="624"/>
      <c r="J599" s="570" t="s">
        <v>2408</v>
      </c>
      <c r="K599" s="571" t="s">
        <v>2409</v>
      </c>
      <c r="L599" s="572" t="s">
        <v>7</v>
      </c>
      <c r="M599" s="725">
        <v>5</v>
      </c>
      <c r="N599" s="684" t="s">
        <v>14</v>
      </c>
      <c r="O599" s="574"/>
      <c r="P599" s="684"/>
      <c r="Q599" s="685"/>
      <c r="R599" s="576"/>
      <c r="S599" s="686">
        <v>44027</v>
      </c>
      <c r="T599" s="27"/>
      <c r="U599" s="81"/>
      <c r="V599" s="738"/>
      <c r="W599" s="744"/>
      <c r="X599" s="60"/>
      <c r="Y599" s="60"/>
      <c r="Z599" s="83"/>
      <c r="AA599" s="62"/>
      <c r="AB599" s="142"/>
      <c r="AC599" s="117"/>
    </row>
    <row r="600" spans="1:29" s="168" customFormat="1" ht="18.75" customHeight="1">
      <c r="A600" s="359"/>
      <c r="B600" s="157"/>
      <c r="C600" s="158"/>
      <c r="D600" s="567"/>
      <c r="E600" s="568"/>
      <c r="F600" s="569"/>
      <c r="G600" s="625"/>
      <c r="H600" s="626"/>
      <c r="I600" s="624"/>
      <c r="J600" s="570"/>
      <c r="K600" s="571"/>
      <c r="L600" s="572"/>
      <c r="M600" s="573"/>
      <c r="N600" s="578"/>
      <c r="O600" s="574"/>
      <c r="P600" s="575"/>
      <c r="Q600" s="576"/>
      <c r="R600" s="576"/>
      <c r="S600" s="577"/>
      <c r="T600" s="159"/>
      <c r="U600" s="160"/>
      <c r="V600" s="161"/>
      <c r="W600" s="162"/>
      <c r="X600" s="163"/>
      <c r="Y600" s="163"/>
      <c r="Z600" s="164"/>
      <c r="AA600" s="165"/>
      <c r="AB600" s="166"/>
      <c r="AC600" s="167"/>
    </row>
    <row r="601" spans="1:29" s="168" customFormat="1" ht="18.75" customHeight="1">
      <c r="A601" s="359" t="s">
        <v>20</v>
      </c>
      <c r="B601" s="157"/>
      <c r="C601" s="158"/>
      <c r="D601" s="567"/>
      <c r="E601" s="568" t="s">
        <v>72</v>
      </c>
      <c r="F601" s="569">
        <v>43692</v>
      </c>
      <c r="G601" s="625"/>
      <c r="H601" s="626"/>
      <c r="I601" s="624"/>
      <c r="J601" s="570" t="s">
        <v>12</v>
      </c>
      <c r="K601" s="571" t="s">
        <v>13</v>
      </c>
      <c r="L601" s="572" t="s">
        <v>11</v>
      </c>
      <c r="M601" s="573">
        <v>208</v>
      </c>
      <c r="N601" s="578" t="s">
        <v>17</v>
      </c>
      <c r="O601" s="574"/>
      <c r="P601" s="575"/>
      <c r="Q601" s="576"/>
      <c r="R601" s="576"/>
      <c r="S601" s="577">
        <v>44381</v>
      </c>
      <c r="T601" s="159"/>
      <c r="U601" s="160"/>
      <c r="V601" s="161"/>
      <c r="W601" s="162"/>
      <c r="X601" s="163"/>
      <c r="Y601" s="163"/>
      <c r="Z601" s="164"/>
      <c r="AA601" s="165"/>
      <c r="AB601" s="166"/>
      <c r="AC601" s="167"/>
    </row>
    <row r="602" spans="1:29" s="168" customFormat="1" ht="18.75" customHeight="1">
      <c r="A602" s="359" t="s">
        <v>20</v>
      </c>
      <c r="B602" s="157"/>
      <c r="C602" s="158"/>
      <c r="D602" s="567"/>
      <c r="E602" s="568" t="s">
        <v>137</v>
      </c>
      <c r="F602" s="569">
        <v>43692</v>
      </c>
      <c r="G602" s="625"/>
      <c r="H602" s="626"/>
      <c r="I602" s="624"/>
      <c r="J602" s="570" t="s">
        <v>2410</v>
      </c>
      <c r="K602" s="571" t="s">
        <v>292</v>
      </c>
      <c r="L602" s="572" t="s">
        <v>10</v>
      </c>
      <c r="M602" s="573">
        <v>27</v>
      </c>
      <c r="N602" s="578" t="s">
        <v>17</v>
      </c>
      <c r="O602" s="574"/>
      <c r="P602" s="575"/>
      <c r="Q602" s="576"/>
      <c r="R602" s="576"/>
      <c r="S602" s="577">
        <v>43992</v>
      </c>
      <c r="T602" s="159"/>
      <c r="U602" s="160"/>
      <c r="V602" s="161"/>
      <c r="W602" s="162"/>
      <c r="X602" s="163"/>
      <c r="Y602" s="163"/>
      <c r="Z602" s="164"/>
      <c r="AA602" s="165"/>
      <c r="AB602" s="166"/>
      <c r="AC602" s="167"/>
    </row>
    <row r="603" spans="1:29" s="168" customFormat="1" ht="18.75" customHeight="1">
      <c r="A603" s="359" t="s">
        <v>20</v>
      </c>
      <c r="B603" s="157"/>
      <c r="C603" s="158"/>
      <c r="D603" s="567"/>
      <c r="E603" s="568" t="s">
        <v>137</v>
      </c>
      <c r="F603" s="569">
        <v>43692</v>
      </c>
      <c r="G603" s="625"/>
      <c r="H603" s="626"/>
      <c r="I603" s="624"/>
      <c r="J603" s="570" t="s">
        <v>2410</v>
      </c>
      <c r="K603" s="571" t="s">
        <v>292</v>
      </c>
      <c r="L603" s="572" t="s">
        <v>10</v>
      </c>
      <c r="M603" s="573">
        <v>229</v>
      </c>
      <c r="N603" s="578" t="s">
        <v>17</v>
      </c>
      <c r="O603" s="574"/>
      <c r="P603" s="575"/>
      <c r="Q603" s="576"/>
      <c r="R603" s="576"/>
      <c r="S603" s="577">
        <v>44013</v>
      </c>
      <c r="T603" s="159"/>
      <c r="U603" s="160"/>
      <c r="V603" s="161"/>
      <c r="W603" s="162"/>
      <c r="X603" s="163"/>
      <c r="Y603" s="163"/>
      <c r="Z603" s="164"/>
      <c r="AA603" s="165"/>
      <c r="AB603" s="166"/>
      <c r="AC603" s="167"/>
    </row>
    <row r="604" spans="1:29" s="168" customFormat="1" ht="18.75" customHeight="1">
      <c r="A604" s="359" t="s">
        <v>20</v>
      </c>
      <c r="B604" s="157"/>
      <c r="C604" s="158"/>
      <c r="D604" s="567"/>
      <c r="E604" s="568" t="s">
        <v>418</v>
      </c>
      <c r="F604" s="569">
        <v>43692</v>
      </c>
      <c r="G604" s="625"/>
      <c r="H604" s="626"/>
      <c r="I604" s="624"/>
      <c r="J604" s="570" t="s">
        <v>135</v>
      </c>
      <c r="K604" s="571" t="s">
        <v>221</v>
      </c>
      <c r="L604" s="572" t="s">
        <v>11</v>
      </c>
      <c r="M604" s="573">
        <v>8</v>
      </c>
      <c r="N604" s="578" t="s">
        <v>17</v>
      </c>
      <c r="O604" s="574"/>
      <c r="P604" s="575"/>
      <c r="Q604" s="576"/>
      <c r="R604" s="576"/>
      <c r="S604" s="577">
        <v>43982</v>
      </c>
      <c r="T604" s="159"/>
      <c r="U604" s="160"/>
      <c r="V604" s="161"/>
      <c r="W604" s="162"/>
      <c r="X604" s="163"/>
      <c r="Y604" s="163"/>
      <c r="Z604" s="164"/>
      <c r="AA604" s="165"/>
      <c r="AB604" s="166"/>
      <c r="AC604" s="167"/>
    </row>
    <row r="605" spans="1:29" s="168" customFormat="1" ht="18.75" customHeight="1">
      <c r="A605" s="359" t="s">
        <v>20</v>
      </c>
      <c r="B605" s="157"/>
      <c r="C605" s="158"/>
      <c r="D605" s="567"/>
      <c r="E605" s="568" t="s">
        <v>1879</v>
      </c>
      <c r="F605" s="569">
        <v>43692</v>
      </c>
      <c r="G605" s="625"/>
      <c r="H605" s="626"/>
      <c r="I605" s="624"/>
      <c r="J605" s="570" t="s">
        <v>1880</v>
      </c>
      <c r="K605" s="571" t="s">
        <v>1881</v>
      </c>
      <c r="L605" s="572" t="s">
        <v>293</v>
      </c>
      <c r="M605" s="573">
        <v>7</v>
      </c>
      <c r="N605" s="578" t="s">
        <v>17</v>
      </c>
      <c r="O605" s="574"/>
      <c r="P605" s="575"/>
      <c r="Q605" s="576"/>
      <c r="R605" s="576"/>
      <c r="S605" s="577">
        <v>43986</v>
      </c>
      <c r="T605" s="159"/>
      <c r="U605" s="160"/>
      <c r="V605" s="161"/>
      <c r="W605" s="162"/>
      <c r="X605" s="163"/>
      <c r="Y605" s="163"/>
      <c r="Z605" s="164"/>
      <c r="AA605" s="165"/>
      <c r="AB605" s="166"/>
      <c r="AC605" s="167"/>
    </row>
    <row r="606" spans="1:29" s="168" customFormat="1" ht="18.75" customHeight="1">
      <c r="A606" s="359" t="s">
        <v>20</v>
      </c>
      <c r="B606" s="157"/>
      <c r="C606" s="158"/>
      <c r="D606" s="567"/>
      <c r="E606" s="568" t="s">
        <v>2411</v>
      </c>
      <c r="F606" s="569">
        <v>43692</v>
      </c>
      <c r="G606" s="625"/>
      <c r="H606" s="626"/>
      <c r="I606" s="624"/>
      <c r="J606" s="570" t="s">
        <v>2413</v>
      </c>
      <c r="K606" s="571" t="s">
        <v>2414</v>
      </c>
      <c r="L606" s="572" t="s">
        <v>294</v>
      </c>
      <c r="M606" s="573">
        <v>3</v>
      </c>
      <c r="N606" s="578" t="s">
        <v>17</v>
      </c>
      <c r="O606" s="574"/>
      <c r="P606" s="575"/>
      <c r="Q606" s="576"/>
      <c r="R606" s="576"/>
      <c r="S606" s="577">
        <v>43924</v>
      </c>
      <c r="T606" s="159"/>
      <c r="U606" s="160"/>
      <c r="V606" s="161"/>
      <c r="W606" s="162"/>
      <c r="X606" s="163"/>
      <c r="Y606" s="163"/>
      <c r="Z606" s="164"/>
      <c r="AA606" s="165"/>
      <c r="AB606" s="166"/>
      <c r="AC606" s="167"/>
    </row>
    <row r="607" spans="1:29" s="168" customFormat="1" ht="18.75" customHeight="1">
      <c r="A607" s="359" t="s">
        <v>20</v>
      </c>
      <c r="B607" s="157"/>
      <c r="C607" s="158"/>
      <c r="D607" s="567"/>
      <c r="E607" s="568" t="s">
        <v>2412</v>
      </c>
      <c r="F607" s="569">
        <v>43692</v>
      </c>
      <c r="G607" s="625"/>
      <c r="H607" s="626"/>
      <c r="I607" s="624"/>
      <c r="J607" s="570" t="s">
        <v>2415</v>
      </c>
      <c r="K607" s="571" t="s">
        <v>2416</v>
      </c>
      <c r="L607" s="572" t="s">
        <v>293</v>
      </c>
      <c r="M607" s="573">
        <v>7</v>
      </c>
      <c r="N607" s="578" t="s">
        <v>17</v>
      </c>
      <c r="O607" s="574"/>
      <c r="P607" s="575"/>
      <c r="Q607" s="576"/>
      <c r="R607" s="576"/>
      <c r="S607" s="577">
        <v>44374</v>
      </c>
      <c r="T607" s="159"/>
      <c r="U607" s="160"/>
      <c r="V607" s="161"/>
      <c r="W607" s="162"/>
      <c r="X607" s="163"/>
      <c r="Y607" s="163"/>
      <c r="Z607" s="164"/>
      <c r="AA607" s="165"/>
      <c r="AB607" s="166"/>
      <c r="AC607" s="167"/>
    </row>
    <row r="608" spans="1:29" s="168" customFormat="1" ht="18.75" customHeight="1">
      <c r="A608" s="359" t="s">
        <v>20</v>
      </c>
      <c r="B608" s="157"/>
      <c r="C608" s="158"/>
      <c r="D608" s="567"/>
      <c r="E608" s="568" t="s">
        <v>2417</v>
      </c>
      <c r="F608" s="569">
        <v>43692</v>
      </c>
      <c r="G608" s="625"/>
      <c r="H608" s="626"/>
      <c r="I608" s="624"/>
      <c r="J608" s="570" t="s">
        <v>2418</v>
      </c>
      <c r="K608" s="571" t="s">
        <v>2419</v>
      </c>
      <c r="L608" s="572" t="s">
        <v>2420</v>
      </c>
      <c r="M608" s="573">
        <v>7</v>
      </c>
      <c r="N608" s="578" t="s">
        <v>17</v>
      </c>
      <c r="O608" s="574"/>
      <c r="P608" s="575"/>
      <c r="Q608" s="576"/>
      <c r="R608" s="576"/>
      <c r="S608" s="577">
        <v>44374</v>
      </c>
      <c r="T608" s="159"/>
      <c r="U608" s="160"/>
      <c r="V608" s="161"/>
      <c r="W608" s="162"/>
      <c r="X608" s="163"/>
      <c r="Y608" s="163"/>
      <c r="Z608" s="164"/>
      <c r="AA608" s="165"/>
      <c r="AB608" s="166"/>
      <c r="AC608" s="167"/>
    </row>
    <row r="609" spans="1:29" s="168" customFormat="1" ht="18.75" customHeight="1">
      <c r="A609" s="359" t="s">
        <v>20</v>
      </c>
      <c r="B609" s="157"/>
      <c r="C609" s="158"/>
      <c r="D609" s="567"/>
      <c r="E609" s="568" t="s">
        <v>486</v>
      </c>
      <c r="F609" s="569">
        <v>43692</v>
      </c>
      <c r="G609" s="625"/>
      <c r="H609" s="626"/>
      <c r="I609" s="624"/>
      <c r="J609" s="570" t="s">
        <v>136</v>
      </c>
      <c r="K609" s="571" t="s">
        <v>1008</v>
      </c>
      <c r="L609" s="572" t="s">
        <v>1335</v>
      </c>
      <c r="M609" s="573">
        <v>50</v>
      </c>
      <c r="N609" s="578" t="s">
        <v>17</v>
      </c>
      <c r="O609" s="574"/>
      <c r="P609" s="575"/>
      <c r="Q609" s="576"/>
      <c r="R609" s="576"/>
      <c r="S609" s="577">
        <v>44189</v>
      </c>
      <c r="T609" s="159"/>
      <c r="U609" s="160"/>
      <c r="V609" s="161"/>
      <c r="W609" s="162"/>
      <c r="X609" s="163"/>
      <c r="Y609" s="163"/>
      <c r="Z609" s="164"/>
      <c r="AA609" s="165"/>
      <c r="AB609" s="166"/>
      <c r="AC609" s="167"/>
    </row>
    <row r="610" spans="1:29" s="168" customFormat="1" ht="18.75" customHeight="1">
      <c r="A610" s="359" t="s">
        <v>20</v>
      </c>
      <c r="B610" s="157"/>
      <c r="C610" s="158"/>
      <c r="D610" s="567"/>
      <c r="E610" s="568" t="s">
        <v>522</v>
      </c>
      <c r="F610" s="569">
        <v>43692</v>
      </c>
      <c r="G610" s="625"/>
      <c r="H610" s="626"/>
      <c r="I610" s="624"/>
      <c r="J610" s="570" t="s">
        <v>2421</v>
      </c>
      <c r="K610" s="571" t="s">
        <v>1006</v>
      </c>
      <c r="L610" s="572" t="s">
        <v>523</v>
      </c>
      <c r="M610" s="573">
        <v>812</v>
      </c>
      <c r="N610" s="578" t="s">
        <v>17</v>
      </c>
      <c r="O610" s="574"/>
      <c r="P610" s="575"/>
      <c r="Q610" s="576"/>
      <c r="R610" s="576"/>
      <c r="S610" s="577">
        <v>44384</v>
      </c>
      <c r="T610" s="159"/>
      <c r="U610" s="160"/>
      <c r="V610" s="161"/>
      <c r="W610" s="162"/>
      <c r="X610" s="163"/>
      <c r="Y610" s="163"/>
      <c r="Z610" s="164"/>
      <c r="AA610" s="165"/>
      <c r="AB610" s="166"/>
      <c r="AC610" s="167"/>
    </row>
    <row r="611" spans="1:29" s="168" customFormat="1" ht="18.75" customHeight="1">
      <c r="A611" s="359" t="s">
        <v>20</v>
      </c>
      <c r="B611" s="157"/>
      <c r="C611" s="158"/>
      <c r="D611" s="567"/>
      <c r="E611" s="568" t="s">
        <v>336</v>
      </c>
      <c r="F611" s="569">
        <v>43692</v>
      </c>
      <c r="G611" s="625"/>
      <c r="H611" s="626"/>
      <c r="I611" s="624"/>
      <c r="J611" s="570" t="s">
        <v>1336</v>
      </c>
      <c r="K611" s="571" t="s">
        <v>1009</v>
      </c>
      <c r="L611" s="572" t="s">
        <v>294</v>
      </c>
      <c r="M611" s="573">
        <v>20</v>
      </c>
      <c r="N611" s="578" t="s">
        <v>17</v>
      </c>
      <c r="O611" s="574"/>
      <c r="P611" s="575"/>
      <c r="Q611" s="576"/>
      <c r="R611" s="576"/>
      <c r="S611" s="577">
        <v>44171</v>
      </c>
      <c r="T611" s="159"/>
      <c r="U611" s="160"/>
      <c r="V611" s="161"/>
      <c r="W611" s="162"/>
      <c r="X611" s="163"/>
      <c r="Y611" s="163"/>
      <c r="Z611" s="164"/>
      <c r="AA611" s="165"/>
      <c r="AB611" s="166"/>
      <c r="AC611" s="167"/>
    </row>
    <row r="612" spans="1:29" s="168" customFormat="1" ht="18.75" customHeight="1">
      <c r="A612" s="359" t="s">
        <v>20</v>
      </c>
      <c r="B612" s="157"/>
      <c r="C612" s="158"/>
      <c r="D612" s="567"/>
      <c r="E612" s="568" t="s">
        <v>2425</v>
      </c>
      <c r="F612" s="569">
        <v>43692</v>
      </c>
      <c r="G612" s="625"/>
      <c r="H612" s="626"/>
      <c r="I612" s="624"/>
      <c r="J612" s="570" t="s">
        <v>2422</v>
      </c>
      <c r="K612" s="571" t="s">
        <v>2423</v>
      </c>
      <c r="L612" s="572" t="s">
        <v>2424</v>
      </c>
      <c r="M612" s="573">
        <v>1</v>
      </c>
      <c r="N612" s="578" t="s">
        <v>17</v>
      </c>
      <c r="O612" s="574"/>
      <c r="P612" s="575"/>
      <c r="Q612" s="576"/>
      <c r="R612" s="576"/>
      <c r="S612" s="577">
        <v>43947</v>
      </c>
      <c r="T612" s="159"/>
      <c r="U612" s="160"/>
      <c r="V612" s="161"/>
      <c r="W612" s="162"/>
      <c r="X612" s="163"/>
      <c r="Y612" s="163"/>
      <c r="Z612" s="164"/>
      <c r="AA612" s="165"/>
      <c r="AB612" s="166"/>
      <c r="AC612" s="167"/>
    </row>
    <row r="613" spans="1:29" s="168" customFormat="1" ht="18.75" customHeight="1">
      <c r="A613" s="359" t="s">
        <v>20</v>
      </c>
      <c r="B613" s="157"/>
      <c r="C613" s="158"/>
      <c r="D613" s="567"/>
      <c r="E613" s="568" t="s">
        <v>2426</v>
      </c>
      <c r="F613" s="569">
        <v>43692</v>
      </c>
      <c r="G613" s="625"/>
      <c r="H613" s="626"/>
      <c r="I613" s="624"/>
      <c r="J613" s="570" t="s">
        <v>2427</v>
      </c>
      <c r="K613" s="571" t="s">
        <v>2428</v>
      </c>
      <c r="L613" s="572" t="s">
        <v>2424</v>
      </c>
      <c r="M613" s="573">
        <v>1</v>
      </c>
      <c r="N613" s="578" t="s">
        <v>17</v>
      </c>
      <c r="O613" s="574"/>
      <c r="P613" s="575"/>
      <c r="Q613" s="576"/>
      <c r="R613" s="576"/>
      <c r="S613" s="577">
        <v>44007</v>
      </c>
      <c r="T613" s="159"/>
      <c r="U613" s="160"/>
      <c r="V613" s="161"/>
      <c r="W613" s="162"/>
      <c r="X613" s="163"/>
      <c r="Y613" s="163"/>
      <c r="Z613" s="164"/>
      <c r="AA613" s="165"/>
      <c r="AB613" s="166"/>
      <c r="AC613" s="167"/>
    </row>
    <row r="614" spans="1:29" s="168" customFormat="1" ht="18.75" customHeight="1">
      <c r="A614" s="359" t="s">
        <v>20</v>
      </c>
      <c r="B614" s="157"/>
      <c r="C614" s="158"/>
      <c r="D614" s="567"/>
      <c r="E614" s="568" t="s">
        <v>2434</v>
      </c>
      <c r="F614" s="569">
        <v>43692</v>
      </c>
      <c r="G614" s="625"/>
      <c r="H614" s="626"/>
      <c r="I614" s="624"/>
      <c r="J614" s="570" t="s">
        <v>2429</v>
      </c>
      <c r="K614" s="571" t="s">
        <v>2430</v>
      </c>
      <c r="L614" s="572" t="s">
        <v>2431</v>
      </c>
      <c r="M614" s="573">
        <v>2</v>
      </c>
      <c r="N614" s="578" t="s">
        <v>17</v>
      </c>
      <c r="O614" s="574"/>
      <c r="P614" s="575"/>
      <c r="Q614" s="576"/>
      <c r="R614" s="576"/>
      <c r="S614" s="577">
        <v>44196</v>
      </c>
      <c r="T614" s="159"/>
      <c r="U614" s="160"/>
      <c r="V614" s="161"/>
      <c r="W614" s="162"/>
      <c r="X614" s="163"/>
      <c r="Y614" s="163"/>
      <c r="Z614" s="164"/>
      <c r="AA614" s="165"/>
      <c r="AB614" s="166"/>
      <c r="AC614" s="167"/>
    </row>
    <row r="615" spans="1:29" s="168" customFormat="1" ht="18.75" customHeight="1">
      <c r="A615" s="359" t="s">
        <v>20</v>
      </c>
      <c r="B615" s="157"/>
      <c r="C615" s="158"/>
      <c r="D615" s="567"/>
      <c r="E615" s="568" t="s">
        <v>2435</v>
      </c>
      <c r="F615" s="569">
        <v>43692</v>
      </c>
      <c r="G615" s="625"/>
      <c r="H615" s="626"/>
      <c r="I615" s="624"/>
      <c r="J615" s="570" t="s">
        <v>2432</v>
      </c>
      <c r="K615" s="571" t="s">
        <v>2433</v>
      </c>
      <c r="L615" s="572" t="s">
        <v>2431</v>
      </c>
      <c r="M615" s="573">
        <v>2</v>
      </c>
      <c r="N615" s="578" t="s">
        <v>17</v>
      </c>
      <c r="O615" s="574"/>
      <c r="P615" s="575"/>
      <c r="Q615" s="576"/>
      <c r="R615" s="576"/>
      <c r="S615" s="288">
        <v>44196</v>
      </c>
      <c r="T615" s="159"/>
      <c r="U615" s="160"/>
      <c r="V615" s="161"/>
      <c r="W615" s="162"/>
      <c r="X615" s="163"/>
      <c r="Y615" s="163"/>
      <c r="Z615" s="164"/>
      <c r="AA615" s="165"/>
      <c r="AB615" s="166"/>
      <c r="AC615" s="167"/>
    </row>
    <row r="616" spans="1:29" s="168" customFormat="1" ht="18.75" customHeight="1">
      <c r="A616" s="359" t="s">
        <v>20</v>
      </c>
      <c r="B616" s="157"/>
      <c r="C616" s="158"/>
      <c r="D616" s="567"/>
      <c r="E616" s="568" t="s">
        <v>2436</v>
      </c>
      <c r="F616" s="569">
        <v>43692</v>
      </c>
      <c r="G616" s="625"/>
      <c r="H616" s="626"/>
      <c r="I616" s="624"/>
      <c r="J616" s="570" t="s">
        <v>2439</v>
      </c>
      <c r="K616" s="571" t="s">
        <v>2440</v>
      </c>
      <c r="L616" s="572" t="s">
        <v>2441</v>
      </c>
      <c r="M616" s="573">
        <v>1</v>
      </c>
      <c r="N616" s="578" t="s">
        <v>17</v>
      </c>
      <c r="O616" s="574"/>
      <c r="P616" s="575"/>
      <c r="Q616" s="576"/>
      <c r="R616" s="576"/>
      <c r="S616" s="288">
        <v>44165</v>
      </c>
      <c r="T616" s="159"/>
      <c r="U616" s="160"/>
      <c r="V616" s="161"/>
      <c r="W616" s="162"/>
      <c r="X616" s="163"/>
      <c r="Y616" s="163"/>
      <c r="Z616" s="164"/>
      <c r="AA616" s="165"/>
      <c r="AB616" s="166"/>
      <c r="AC616" s="167"/>
    </row>
    <row r="617" spans="1:29" s="168" customFormat="1" ht="18.75" customHeight="1">
      <c r="A617" s="359" t="s">
        <v>20</v>
      </c>
      <c r="B617" s="157"/>
      <c r="C617" s="158"/>
      <c r="D617" s="567"/>
      <c r="E617" s="568" t="s">
        <v>2437</v>
      </c>
      <c r="F617" s="569">
        <v>43692</v>
      </c>
      <c r="G617" s="625"/>
      <c r="H617" s="626"/>
      <c r="I617" s="624"/>
      <c r="J617" s="570" t="s">
        <v>2442</v>
      </c>
      <c r="K617" s="571" t="s">
        <v>2443</v>
      </c>
      <c r="L617" s="572" t="s">
        <v>2444</v>
      </c>
      <c r="M617" s="573">
        <v>1</v>
      </c>
      <c r="N617" s="578" t="s">
        <v>17</v>
      </c>
      <c r="O617" s="574"/>
      <c r="P617" s="575"/>
      <c r="Q617" s="576"/>
      <c r="R617" s="576"/>
      <c r="S617" s="288">
        <v>44165</v>
      </c>
      <c r="T617" s="159"/>
      <c r="U617" s="160"/>
      <c r="V617" s="161"/>
      <c r="W617" s="162"/>
      <c r="X617" s="163"/>
      <c r="Y617" s="163"/>
      <c r="Z617" s="164"/>
      <c r="AA617" s="165"/>
      <c r="AB617" s="166"/>
      <c r="AC617" s="167"/>
    </row>
    <row r="618" spans="1:29" s="168" customFormat="1" ht="18.75" customHeight="1">
      <c r="A618" s="359" t="s">
        <v>20</v>
      </c>
      <c r="B618" s="157"/>
      <c r="C618" s="158"/>
      <c r="D618" s="567"/>
      <c r="E618" s="568" t="s">
        <v>2438</v>
      </c>
      <c r="F618" s="569">
        <v>43692</v>
      </c>
      <c r="G618" s="625"/>
      <c r="H618" s="626"/>
      <c r="I618" s="624"/>
      <c r="J618" s="570" t="s">
        <v>2445</v>
      </c>
      <c r="K618" s="571" t="s">
        <v>2446</v>
      </c>
      <c r="L618" s="572" t="s">
        <v>2444</v>
      </c>
      <c r="M618" s="573">
        <v>1</v>
      </c>
      <c r="N618" s="578" t="s">
        <v>17</v>
      </c>
      <c r="O618" s="574"/>
      <c r="P618" s="575"/>
      <c r="Q618" s="576"/>
      <c r="R618" s="576"/>
      <c r="S618" s="288">
        <v>44165</v>
      </c>
      <c r="T618" s="159"/>
      <c r="U618" s="160"/>
      <c r="V618" s="161"/>
      <c r="W618" s="162"/>
      <c r="X618" s="163"/>
      <c r="Y618" s="163"/>
      <c r="Z618" s="164"/>
      <c r="AA618" s="165"/>
      <c r="AB618" s="166"/>
      <c r="AC618" s="167"/>
    </row>
    <row r="619" spans="1:29" s="168" customFormat="1" ht="18.75" customHeight="1">
      <c r="A619" s="359"/>
      <c r="B619" s="157"/>
      <c r="C619" s="158"/>
      <c r="D619" s="567"/>
      <c r="E619" s="568"/>
      <c r="F619" s="569"/>
      <c r="G619" s="625"/>
      <c r="H619" s="626"/>
      <c r="I619" s="624"/>
      <c r="J619" s="570"/>
      <c r="K619" s="571"/>
      <c r="L619" s="572"/>
      <c r="M619" s="573"/>
      <c r="N619" s="578" t="s">
        <v>17</v>
      </c>
      <c r="O619" s="574"/>
      <c r="P619" s="575"/>
      <c r="Q619" s="576"/>
      <c r="R619" s="576"/>
      <c r="S619" s="288"/>
      <c r="T619" s="159"/>
      <c r="U619" s="160"/>
      <c r="V619" s="161"/>
      <c r="W619" s="162"/>
      <c r="X619" s="163"/>
      <c r="Y619" s="163"/>
      <c r="Z619" s="164"/>
      <c r="AA619" s="165"/>
      <c r="AB619" s="166"/>
      <c r="AC619" s="167"/>
    </row>
    <row r="620" spans="1:29" s="168" customFormat="1" ht="18.75" customHeight="1">
      <c r="A620" s="359" t="s">
        <v>66</v>
      </c>
      <c r="B620" s="157"/>
      <c r="C620" s="158"/>
      <c r="D620" s="567"/>
      <c r="E620" s="568" t="s">
        <v>2338</v>
      </c>
      <c r="F620" s="569"/>
      <c r="G620" s="625"/>
      <c r="H620" s="626"/>
      <c r="I620" s="624"/>
      <c r="J620" s="570" t="s">
        <v>2447</v>
      </c>
      <c r="K620" s="571" t="s">
        <v>994</v>
      </c>
      <c r="L620" s="572" t="s">
        <v>2340</v>
      </c>
      <c r="M620" s="573">
        <v>324</v>
      </c>
      <c r="N620" s="578" t="s">
        <v>17</v>
      </c>
      <c r="O620" s="574"/>
      <c r="P620" s="575"/>
      <c r="Q620" s="576"/>
      <c r="R620" s="576"/>
      <c r="S620" s="288">
        <v>43846</v>
      </c>
      <c r="T620" s="159"/>
      <c r="U620" s="160"/>
      <c r="V620" s="161"/>
      <c r="W620" s="162"/>
      <c r="X620" s="163"/>
      <c r="Y620" s="163"/>
      <c r="Z620" s="164"/>
      <c r="AA620" s="165"/>
      <c r="AB620" s="166"/>
      <c r="AC620" s="167"/>
    </row>
    <row r="621" spans="1:29" s="168" customFormat="1" ht="18.75" customHeight="1">
      <c r="A621" s="359" t="s">
        <v>66</v>
      </c>
      <c r="B621" s="157"/>
      <c r="C621" s="158"/>
      <c r="D621" s="567"/>
      <c r="E621" s="568" t="s">
        <v>1317</v>
      </c>
      <c r="F621" s="569"/>
      <c r="G621" s="625"/>
      <c r="H621" s="626"/>
      <c r="I621" s="624"/>
      <c r="J621" s="570" t="s">
        <v>2463</v>
      </c>
      <c r="K621" s="571" t="s">
        <v>1030</v>
      </c>
      <c r="L621" s="572" t="s">
        <v>1318</v>
      </c>
      <c r="M621" s="573">
        <v>12</v>
      </c>
      <c r="N621" s="578" t="s">
        <v>17</v>
      </c>
      <c r="O621" s="574"/>
      <c r="P621" s="575"/>
      <c r="Q621" s="576"/>
      <c r="R621" s="576"/>
      <c r="S621" s="288">
        <v>44030</v>
      </c>
      <c r="T621" s="159"/>
      <c r="U621" s="160"/>
      <c r="V621" s="161"/>
      <c r="W621" s="162"/>
      <c r="X621" s="163"/>
      <c r="Y621" s="163"/>
      <c r="Z621" s="164"/>
      <c r="AA621" s="165"/>
      <c r="AB621" s="166"/>
      <c r="AC621" s="167"/>
    </row>
    <row r="622" spans="1:29" s="168" customFormat="1" ht="18.75" customHeight="1">
      <c r="A622" s="359" t="s">
        <v>66</v>
      </c>
      <c r="B622" s="157"/>
      <c r="C622" s="158"/>
      <c r="D622" s="567"/>
      <c r="E622" s="568" t="s">
        <v>1483</v>
      </c>
      <c r="F622" s="569"/>
      <c r="G622" s="625"/>
      <c r="H622" s="626"/>
      <c r="I622" s="624"/>
      <c r="J622" s="570" t="s">
        <v>2116</v>
      </c>
      <c r="K622" s="571" t="s">
        <v>997</v>
      </c>
      <c r="L622" s="572" t="s">
        <v>1484</v>
      </c>
      <c r="M622" s="573">
        <v>1</v>
      </c>
      <c r="N622" s="578" t="s">
        <v>17</v>
      </c>
      <c r="O622" s="574"/>
      <c r="P622" s="575"/>
      <c r="Q622" s="576"/>
      <c r="R622" s="576"/>
      <c r="S622" s="288">
        <v>43830</v>
      </c>
      <c r="T622" s="159"/>
      <c r="U622" s="160"/>
      <c r="V622" s="161"/>
      <c r="W622" s="162"/>
      <c r="X622" s="163"/>
      <c r="Y622" s="163"/>
      <c r="Z622" s="164"/>
      <c r="AA622" s="165"/>
      <c r="AB622" s="166"/>
      <c r="AC622" s="167"/>
    </row>
    <row r="623" spans="1:29" s="168" customFormat="1" ht="18.75" customHeight="1">
      <c r="A623" s="359" t="s">
        <v>66</v>
      </c>
      <c r="B623" s="157"/>
      <c r="C623" s="158"/>
      <c r="D623" s="567"/>
      <c r="E623" s="568" t="s">
        <v>1483</v>
      </c>
      <c r="F623" s="569"/>
      <c r="G623" s="625"/>
      <c r="H623" s="626"/>
      <c r="I623" s="624"/>
      <c r="J623" s="570" t="s">
        <v>2116</v>
      </c>
      <c r="K623" s="571" t="s">
        <v>997</v>
      </c>
      <c r="L623" s="572" t="s">
        <v>1484</v>
      </c>
      <c r="M623" s="573">
        <v>42</v>
      </c>
      <c r="N623" s="578" t="s">
        <v>17</v>
      </c>
      <c r="O623" s="574"/>
      <c r="P623" s="575"/>
      <c r="Q623" s="576"/>
      <c r="R623" s="576"/>
      <c r="S623" s="288">
        <v>43844</v>
      </c>
      <c r="T623" s="159"/>
      <c r="U623" s="160"/>
      <c r="V623" s="161"/>
      <c r="W623" s="162"/>
      <c r="X623" s="163"/>
      <c r="Y623" s="163"/>
      <c r="Z623" s="164"/>
      <c r="AA623" s="165"/>
      <c r="AB623" s="166"/>
      <c r="AC623" s="167"/>
    </row>
    <row r="624" spans="1:29" s="168" customFormat="1" ht="18.75" customHeight="1">
      <c r="A624" s="359" t="s">
        <v>66</v>
      </c>
      <c r="B624" s="157"/>
      <c r="C624" s="158"/>
      <c r="D624" s="567"/>
      <c r="E624" s="568" t="s">
        <v>1483</v>
      </c>
      <c r="F624" s="569"/>
      <c r="G624" s="625"/>
      <c r="H624" s="626"/>
      <c r="I624" s="624"/>
      <c r="J624" s="570" t="s">
        <v>2116</v>
      </c>
      <c r="K624" s="571" t="s">
        <v>997</v>
      </c>
      <c r="L624" s="572" t="s">
        <v>1484</v>
      </c>
      <c r="M624" s="573">
        <v>41</v>
      </c>
      <c r="N624" s="578" t="s">
        <v>17</v>
      </c>
      <c r="O624" s="574"/>
      <c r="P624" s="575"/>
      <c r="Q624" s="576"/>
      <c r="R624" s="576"/>
      <c r="S624" s="288">
        <v>43848</v>
      </c>
      <c r="T624" s="159"/>
      <c r="U624" s="160"/>
      <c r="V624" s="161"/>
      <c r="W624" s="162"/>
      <c r="X624" s="163"/>
      <c r="Y624" s="163"/>
      <c r="Z624" s="164"/>
      <c r="AA624" s="165"/>
      <c r="AB624" s="166"/>
      <c r="AC624" s="167"/>
    </row>
    <row r="625" spans="1:29" s="168" customFormat="1" ht="18.75" customHeight="1">
      <c r="A625" s="359" t="s">
        <v>66</v>
      </c>
      <c r="B625" s="157"/>
      <c r="C625" s="158"/>
      <c r="D625" s="567"/>
      <c r="E625" s="568" t="s">
        <v>896</v>
      </c>
      <c r="F625" s="569"/>
      <c r="G625" s="625"/>
      <c r="H625" s="626"/>
      <c r="I625" s="624"/>
      <c r="J625" s="570" t="s">
        <v>2115</v>
      </c>
      <c r="K625" s="571" t="s">
        <v>995</v>
      </c>
      <c r="L625" s="572" t="s">
        <v>8</v>
      </c>
      <c r="M625" s="573">
        <v>104</v>
      </c>
      <c r="N625" s="578" t="s">
        <v>17</v>
      </c>
      <c r="O625" s="574"/>
      <c r="P625" s="575"/>
      <c r="Q625" s="576"/>
      <c r="R625" s="576"/>
      <c r="S625" s="288">
        <v>43846</v>
      </c>
      <c r="T625" s="159"/>
      <c r="U625" s="160"/>
      <c r="V625" s="161"/>
      <c r="W625" s="162"/>
      <c r="X625" s="163"/>
      <c r="Y625" s="163"/>
      <c r="Z625" s="164"/>
      <c r="AA625" s="165"/>
      <c r="AB625" s="166"/>
      <c r="AC625" s="167"/>
    </row>
    <row r="626" spans="1:29" s="168" customFormat="1" ht="18.75" customHeight="1">
      <c r="A626" s="359" t="s">
        <v>66</v>
      </c>
      <c r="B626" s="157"/>
      <c r="C626" s="158"/>
      <c r="D626" s="567"/>
      <c r="E626" s="568" t="s">
        <v>446</v>
      </c>
      <c r="F626" s="569"/>
      <c r="G626" s="625"/>
      <c r="H626" s="626"/>
      <c r="I626" s="624"/>
      <c r="J626" s="570" t="s">
        <v>2448</v>
      </c>
      <c r="K626" s="571" t="s">
        <v>996</v>
      </c>
      <c r="L626" s="572" t="s">
        <v>2449</v>
      </c>
      <c r="M626" s="573">
        <v>13</v>
      </c>
      <c r="N626" s="578" t="s">
        <v>17</v>
      </c>
      <c r="O626" s="574"/>
      <c r="P626" s="575"/>
      <c r="Q626" s="576"/>
      <c r="R626" s="576"/>
      <c r="S626" s="288">
        <v>43846</v>
      </c>
      <c r="T626" s="159"/>
      <c r="U626" s="160"/>
      <c r="V626" s="161"/>
      <c r="W626" s="162"/>
      <c r="X626" s="163"/>
      <c r="Y626" s="163"/>
      <c r="Z626" s="164"/>
      <c r="AA626" s="165"/>
      <c r="AB626" s="166"/>
      <c r="AC626" s="167"/>
    </row>
    <row r="627" spans="1:29" s="168" customFormat="1" ht="18.75" customHeight="1">
      <c r="A627" s="359"/>
      <c r="B627" s="157"/>
      <c r="C627" s="158"/>
      <c r="D627" s="567"/>
      <c r="E627" s="568"/>
      <c r="F627" s="569"/>
      <c r="G627" s="625"/>
      <c r="H627" s="626"/>
      <c r="I627" s="624"/>
      <c r="J627" s="570"/>
      <c r="K627" s="571"/>
      <c r="L627" s="572"/>
      <c r="M627" s="573"/>
      <c r="N627" s="578" t="s">
        <v>17</v>
      </c>
      <c r="O627" s="574"/>
      <c r="P627" s="575"/>
      <c r="Q627" s="576"/>
      <c r="R627" s="576"/>
      <c r="S627" s="288"/>
      <c r="T627" s="159"/>
      <c r="U627" s="160"/>
      <c r="V627" s="161"/>
      <c r="W627" s="162"/>
      <c r="X627" s="163"/>
      <c r="Y627" s="163"/>
      <c r="Z627" s="164"/>
      <c r="AA627" s="165"/>
      <c r="AB627" s="166"/>
      <c r="AC627" s="167"/>
    </row>
    <row r="628" spans="1:29" s="168" customFormat="1" ht="18.75" customHeight="1">
      <c r="A628" s="359" t="s">
        <v>66</v>
      </c>
      <c r="B628" s="157"/>
      <c r="C628" s="158"/>
      <c r="D628" s="567"/>
      <c r="E628" s="568" t="s">
        <v>998</v>
      </c>
      <c r="F628" s="569"/>
      <c r="G628" s="625"/>
      <c r="H628" s="626"/>
      <c r="I628" s="624"/>
      <c r="J628" s="570" t="s">
        <v>1251</v>
      </c>
      <c r="K628" s="571" t="s">
        <v>999</v>
      </c>
      <c r="L628" s="572" t="s">
        <v>1252</v>
      </c>
      <c r="M628" s="573">
        <v>3</v>
      </c>
      <c r="N628" s="578" t="s">
        <v>17</v>
      </c>
      <c r="O628" s="574"/>
      <c r="P628" s="575"/>
      <c r="Q628" s="576"/>
      <c r="R628" s="576"/>
      <c r="S628" s="288">
        <v>44202</v>
      </c>
      <c r="T628" s="159"/>
      <c r="U628" s="160"/>
      <c r="V628" s="161"/>
      <c r="W628" s="162"/>
      <c r="X628" s="163"/>
      <c r="Y628" s="163"/>
      <c r="Z628" s="164"/>
      <c r="AA628" s="165"/>
      <c r="AB628" s="166"/>
      <c r="AC628" s="167"/>
    </row>
    <row r="629" spans="1:29" s="168" customFormat="1" ht="18.75" customHeight="1">
      <c r="A629" s="359" t="s">
        <v>66</v>
      </c>
      <c r="B629" s="157"/>
      <c r="C629" s="158"/>
      <c r="D629" s="567"/>
      <c r="E629" s="568" t="s">
        <v>998</v>
      </c>
      <c r="F629" s="569"/>
      <c r="G629" s="625"/>
      <c r="H629" s="626"/>
      <c r="I629" s="624"/>
      <c r="J629" s="570" t="s">
        <v>1251</v>
      </c>
      <c r="K629" s="571" t="s">
        <v>999</v>
      </c>
      <c r="L629" s="572" t="s">
        <v>1252</v>
      </c>
      <c r="M629" s="573">
        <v>91</v>
      </c>
      <c r="N629" s="578" t="s">
        <v>17</v>
      </c>
      <c r="O629" s="574"/>
      <c r="P629" s="575"/>
      <c r="Q629" s="576"/>
      <c r="R629" s="576"/>
      <c r="S629" s="288">
        <v>44204</v>
      </c>
      <c r="T629" s="159"/>
      <c r="U629" s="160"/>
      <c r="V629" s="161"/>
      <c r="W629" s="162"/>
      <c r="X629" s="163"/>
      <c r="Y629" s="163"/>
      <c r="Z629" s="164"/>
      <c r="AA629" s="165"/>
      <c r="AB629" s="166"/>
      <c r="AC629" s="167"/>
    </row>
    <row r="630" spans="1:29" s="168" customFormat="1" ht="18.75" customHeight="1">
      <c r="A630" s="359" t="s">
        <v>66</v>
      </c>
      <c r="B630" s="157"/>
      <c r="C630" s="158"/>
      <c r="D630" s="567"/>
      <c r="E630" s="568" t="s">
        <v>998</v>
      </c>
      <c r="F630" s="569"/>
      <c r="G630" s="625"/>
      <c r="H630" s="626"/>
      <c r="I630" s="624"/>
      <c r="J630" s="570" t="s">
        <v>1251</v>
      </c>
      <c r="K630" s="571" t="s">
        <v>999</v>
      </c>
      <c r="L630" s="572" t="s">
        <v>1252</v>
      </c>
      <c r="M630" s="573">
        <v>62</v>
      </c>
      <c r="N630" s="578" t="s">
        <v>17</v>
      </c>
      <c r="O630" s="574"/>
      <c r="P630" s="575"/>
      <c r="Q630" s="576"/>
      <c r="R630" s="576"/>
      <c r="S630" s="288">
        <v>44205</v>
      </c>
      <c r="T630" s="159"/>
      <c r="U630" s="160"/>
      <c r="V630" s="161"/>
      <c r="W630" s="162"/>
      <c r="X630" s="163"/>
      <c r="Y630" s="163"/>
      <c r="Z630" s="164"/>
      <c r="AA630" s="165"/>
      <c r="AB630" s="166"/>
      <c r="AC630" s="167"/>
    </row>
    <row r="631" spans="1:29" s="168" customFormat="1" ht="18.75" customHeight="1">
      <c r="A631" s="359" t="s">
        <v>66</v>
      </c>
      <c r="B631" s="157"/>
      <c r="C631" s="158"/>
      <c r="D631" s="567"/>
      <c r="E631" s="568" t="s">
        <v>1333</v>
      </c>
      <c r="F631" s="569"/>
      <c r="G631" s="625"/>
      <c r="H631" s="626"/>
      <c r="I631" s="624"/>
      <c r="J631" s="570" t="s">
        <v>2040</v>
      </c>
      <c r="K631" s="571" t="s">
        <v>1334</v>
      </c>
      <c r="L631" s="572" t="s">
        <v>65</v>
      </c>
      <c r="M631" s="573">
        <v>6</v>
      </c>
      <c r="N631" s="578" t="s">
        <v>17</v>
      </c>
      <c r="O631" s="574"/>
      <c r="P631" s="575"/>
      <c r="Q631" s="576"/>
      <c r="R631" s="576"/>
      <c r="S631" s="288">
        <v>44371</v>
      </c>
      <c r="T631" s="159"/>
      <c r="U631" s="160"/>
      <c r="V631" s="161"/>
      <c r="W631" s="162"/>
      <c r="X631" s="163"/>
      <c r="Y631" s="163"/>
      <c r="Z631" s="164"/>
      <c r="AA631" s="165"/>
      <c r="AB631" s="166"/>
      <c r="AC631" s="167"/>
    </row>
    <row r="632" spans="1:29" s="168" customFormat="1" ht="18.75" customHeight="1">
      <c r="A632" s="359" t="s">
        <v>66</v>
      </c>
      <c r="B632" s="157"/>
      <c r="C632" s="158"/>
      <c r="D632" s="567"/>
      <c r="E632" s="568" t="s">
        <v>140</v>
      </c>
      <c r="F632" s="569"/>
      <c r="G632" s="625"/>
      <c r="H632" s="626"/>
      <c r="I632" s="624"/>
      <c r="J632" s="570" t="s">
        <v>141</v>
      </c>
      <c r="K632" s="571" t="s">
        <v>1001</v>
      </c>
      <c r="L632" s="572" t="s">
        <v>81</v>
      </c>
      <c r="M632" s="573">
        <v>29</v>
      </c>
      <c r="N632" s="578" t="s">
        <v>17</v>
      </c>
      <c r="O632" s="574"/>
      <c r="P632" s="575"/>
      <c r="Q632" s="576"/>
      <c r="R632" s="576"/>
      <c r="S632" s="288">
        <v>44134</v>
      </c>
      <c r="T632" s="159"/>
      <c r="U632" s="160"/>
      <c r="V632" s="161"/>
      <c r="W632" s="162"/>
      <c r="X632" s="163"/>
      <c r="Y632" s="163"/>
      <c r="Z632" s="164"/>
      <c r="AA632" s="165"/>
      <c r="AB632" s="166"/>
      <c r="AC632" s="167"/>
    </row>
    <row r="633" spans="1:29" s="168" customFormat="1" ht="18.75" customHeight="1">
      <c r="A633" s="359" t="s">
        <v>66</v>
      </c>
      <c r="B633" s="157"/>
      <c r="C633" s="158"/>
      <c r="D633" s="567"/>
      <c r="E633" s="568" t="s">
        <v>140</v>
      </c>
      <c r="F633" s="569"/>
      <c r="G633" s="625"/>
      <c r="H633" s="626"/>
      <c r="I633" s="624"/>
      <c r="J633" s="570" t="s">
        <v>141</v>
      </c>
      <c r="K633" s="571" t="s">
        <v>1001</v>
      </c>
      <c r="L633" s="572" t="s">
        <v>81</v>
      </c>
      <c r="M633" s="573">
        <v>79</v>
      </c>
      <c r="N633" s="578" t="s">
        <v>17</v>
      </c>
      <c r="O633" s="574"/>
      <c r="P633" s="575"/>
      <c r="Q633" s="576"/>
      <c r="R633" s="576"/>
      <c r="S633" s="288">
        <v>44189</v>
      </c>
      <c r="T633" s="159"/>
      <c r="U633" s="160"/>
      <c r="V633" s="161"/>
      <c r="W633" s="162"/>
      <c r="X633" s="163"/>
      <c r="Y633" s="163"/>
      <c r="Z633" s="164"/>
      <c r="AA633" s="165"/>
      <c r="AB633" s="166"/>
      <c r="AC633" s="167"/>
    </row>
    <row r="634" spans="1:29" s="168" customFormat="1" ht="18.75" customHeight="1">
      <c r="A634" s="359" t="s">
        <v>66</v>
      </c>
      <c r="B634" s="157"/>
      <c r="C634" s="158"/>
      <c r="D634" s="567"/>
      <c r="E634" s="568" t="s">
        <v>2450</v>
      </c>
      <c r="F634" s="569"/>
      <c r="G634" s="625"/>
      <c r="H634" s="626"/>
      <c r="I634" s="624"/>
      <c r="J634" s="570" t="s">
        <v>2453</v>
      </c>
      <c r="K634" s="571" t="s">
        <v>2454</v>
      </c>
      <c r="L634" s="572" t="s">
        <v>2455</v>
      </c>
      <c r="M634" s="573">
        <v>2</v>
      </c>
      <c r="N634" s="578" t="s">
        <v>17</v>
      </c>
      <c r="O634" s="574"/>
      <c r="P634" s="575"/>
      <c r="Q634" s="576"/>
      <c r="R634" s="576"/>
      <c r="S634" s="288">
        <v>44146</v>
      </c>
      <c r="T634" s="159"/>
      <c r="U634" s="160"/>
      <c r="V634" s="161"/>
      <c r="W634" s="162"/>
      <c r="X634" s="163"/>
      <c r="Y634" s="163"/>
      <c r="Z634" s="164"/>
      <c r="AA634" s="165"/>
      <c r="AB634" s="166"/>
      <c r="AC634" s="167"/>
    </row>
    <row r="635" spans="1:29" s="168" customFormat="1" ht="18.75" customHeight="1">
      <c r="A635" s="359" t="s">
        <v>66</v>
      </c>
      <c r="B635" s="157"/>
      <c r="C635" s="158"/>
      <c r="D635" s="567"/>
      <c r="E635" s="568" t="s">
        <v>2451</v>
      </c>
      <c r="F635" s="569"/>
      <c r="G635" s="625"/>
      <c r="H635" s="626"/>
      <c r="I635" s="624"/>
      <c r="J635" s="570" t="s">
        <v>2456</v>
      </c>
      <c r="K635" s="571" t="s">
        <v>2457</v>
      </c>
      <c r="L635" s="572" t="s">
        <v>2458</v>
      </c>
      <c r="M635" s="573">
        <v>2</v>
      </c>
      <c r="N635" s="578" t="s">
        <v>17</v>
      </c>
      <c r="O635" s="574"/>
      <c r="P635" s="575"/>
      <c r="Q635" s="576"/>
      <c r="R635" s="576"/>
      <c r="S635" s="288">
        <v>44126</v>
      </c>
      <c r="T635" s="159"/>
      <c r="U635" s="160"/>
      <c r="V635" s="161"/>
      <c r="W635" s="162"/>
      <c r="X635" s="163"/>
      <c r="Y635" s="163"/>
      <c r="Z635" s="164"/>
      <c r="AA635" s="165"/>
      <c r="AB635" s="166"/>
      <c r="AC635" s="167"/>
    </row>
    <row r="636" spans="1:29" s="168" customFormat="1" ht="18.75" customHeight="1">
      <c r="A636" s="359" t="s">
        <v>66</v>
      </c>
      <c r="B636" s="157"/>
      <c r="C636" s="158"/>
      <c r="D636" s="567"/>
      <c r="E636" s="568" t="s">
        <v>2452</v>
      </c>
      <c r="F636" s="569"/>
      <c r="G636" s="625"/>
      <c r="H636" s="626"/>
      <c r="I636" s="624"/>
      <c r="J636" s="570" t="s">
        <v>2459</v>
      </c>
      <c r="K636" s="571" t="s">
        <v>2460</v>
      </c>
      <c r="L636" s="572" t="s">
        <v>2461</v>
      </c>
      <c r="M636" s="573">
        <v>2</v>
      </c>
      <c r="N636" s="578" t="s">
        <v>17</v>
      </c>
      <c r="O636" s="574"/>
      <c r="P636" s="575"/>
      <c r="Q636" s="576"/>
      <c r="R636" s="576"/>
      <c r="S636" s="288">
        <v>44177</v>
      </c>
      <c r="T636" s="159"/>
      <c r="U636" s="160"/>
      <c r="V636" s="161"/>
      <c r="W636" s="162"/>
      <c r="X636" s="163"/>
      <c r="Y636" s="163"/>
      <c r="Z636" s="164"/>
      <c r="AA636" s="165"/>
      <c r="AB636" s="166"/>
      <c r="AC636" s="167"/>
    </row>
    <row r="637" spans="1:29" s="168" customFormat="1" ht="18.75" customHeight="1">
      <c r="A637" s="359" t="s">
        <v>66</v>
      </c>
      <c r="B637" s="157"/>
      <c r="C637" s="158"/>
      <c r="D637" s="567"/>
      <c r="E637" s="568" t="s">
        <v>1672</v>
      </c>
      <c r="F637" s="569"/>
      <c r="G637" s="625"/>
      <c r="H637" s="626"/>
      <c r="I637" s="624"/>
      <c r="J637" s="570" t="s">
        <v>2462</v>
      </c>
      <c r="K637" s="571" t="s">
        <v>1674</v>
      </c>
      <c r="L637" s="572" t="s">
        <v>1675</v>
      </c>
      <c r="M637" s="573">
        <v>178</v>
      </c>
      <c r="N637" s="578" t="s">
        <v>17</v>
      </c>
      <c r="O637" s="574"/>
      <c r="P637" s="575"/>
      <c r="Q637" s="576"/>
      <c r="R637" s="576"/>
      <c r="S637" s="288">
        <v>44199</v>
      </c>
      <c r="T637" s="159"/>
      <c r="U637" s="160"/>
      <c r="V637" s="161"/>
      <c r="W637" s="162"/>
      <c r="X637" s="163"/>
      <c r="Y637" s="163"/>
      <c r="Z637" s="164"/>
      <c r="AA637" s="165"/>
      <c r="AB637" s="166"/>
      <c r="AC637" s="167"/>
    </row>
    <row r="638" spans="1:29" s="168" customFormat="1" ht="18.75" customHeight="1">
      <c r="A638" s="359" t="s">
        <v>66</v>
      </c>
      <c r="B638" s="157"/>
      <c r="C638" s="158"/>
      <c r="D638" s="567"/>
      <c r="E638" s="568" t="s">
        <v>1672</v>
      </c>
      <c r="F638" s="569"/>
      <c r="G638" s="625"/>
      <c r="H638" s="626"/>
      <c r="I638" s="624"/>
      <c r="J638" s="570" t="s">
        <v>2462</v>
      </c>
      <c r="K638" s="571" t="s">
        <v>1674</v>
      </c>
      <c r="L638" s="572" t="s">
        <v>1675</v>
      </c>
      <c r="M638" s="573">
        <v>38</v>
      </c>
      <c r="N638" s="578" t="s">
        <v>17</v>
      </c>
      <c r="O638" s="574"/>
      <c r="P638" s="575"/>
      <c r="Q638" s="576"/>
      <c r="R638" s="576"/>
      <c r="S638" s="288">
        <v>44219</v>
      </c>
      <c r="T638" s="159"/>
      <c r="U638" s="160"/>
      <c r="V638" s="161"/>
      <c r="W638" s="162"/>
      <c r="X638" s="163"/>
      <c r="Y638" s="163"/>
      <c r="Z638" s="164"/>
      <c r="AA638" s="165"/>
      <c r="AB638" s="166"/>
      <c r="AC638" s="167"/>
    </row>
    <row r="639" spans="1:29" s="168" customFormat="1" ht="18.75" customHeight="1">
      <c r="A639" s="359" t="s">
        <v>66</v>
      </c>
      <c r="B639" s="157"/>
      <c r="C639" s="158"/>
      <c r="D639" s="51"/>
      <c r="E639" s="536" t="s">
        <v>2035</v>
      </c>
      <c r="F639" s="601"/>
      <c r="G639" s="625"/>
      <c r="H639" s="626"/>
      <c r="I639" s="624"/>
      <c r="J639" s="610" t="s">
        <v>2036</v>
      </c>
      <c r="K639" s="541" t="s">
        <v>2037</v>
      </c>
      <c r="L639" s="252" t="s">
        <v>2038</v>
      </c>
      <c r="M639" s="602">
        <v>10</v>
      </c>
      <c r="N639" s="578" t="s">
        <v>17</v>
      </c>
      <c r="O639" s="537"/>
      <c r="P639" s="603"/>
      <c r="Q639" s="576"/>
      <c r="R639" s="576"/>
      <c r="S639" s="577">
        <v>44189</v>
      </c>
      <c r="T639" s="159"/>
      <c r="U639" s="160"/>
      <c r="V639" s="161"/>
      <c r="W639" s="162"/>
      <c r="X639" s="163"/>
      <c r="Y639" s="163"/>
      <c r="Z639" s="164"/>
      <c r="AA639" s="165"/>
      <c r="AB639" s="166"/>
      <c r="AC639" s="167"/>
    </row>
    <row r="640" spans="1:29" s="168" customFormat="1" ht="18.75" customHeight="1">
      <c r="A640" s="359" t="s">
        <v>66</v>
      </c>
      <c r="B640" s="157"/>
      <c r="C640" s="158"/>
      <c r="D640" s="51"/>
      <c r="E640" s="536" t="s">
        <v>2042</v>
      </c>
      <c r="F640" s="601"/>
      <c r="G640" s="625"/>
      <c r="H640" s="626"/>
      <c r="I640" s="624"/>
      <c r="J640" s="610" t="s">
        <v>2043</v>
      </c>
      <c r="K640" s="541" t="s">
        <v>2044</v>
      </c>
      <c r="L640" s="252" t="s">
        <v>2045</v>
      </c>
      <c r="M640" s="602">
        <v>50</v>
      </c>
      <c r="N640" s="578" t="s">
        <v>17</v>
      </c>
      <c r="O640" s="537"/>
      <c r="P640" s="603"/>
      <c r="Q640" s="576"/>
      <c r="R640" s="576"/>
      <c r="S640" s="577">
        <v>44023</v>
      </c>
      <c r="T640" s="159"/>
      <c r="U640" s="160"/>
      <c r="V640" s="161"/>
      <c r="W640" s="162"/>
      <c r="X640" s="163"/>
      <c r="Y640" s="163"/>
      <c r="Z640" s="164"/>
      <c r="AA640" s="165"/>
      <c r="AB640" s="166"/>
      <c r="AC640" s="167"/>
    </row>
    <row r="641" spans="1:38" s="168" customFormat="1" ht="18.75" customHeight="1">
      <c r="A641" s="359" t="s">
        <v>66</v>
      </c>
      <c r="B641" s="157"/>
      <c r="C641" s="158"/>
      <c r="D641" s="51"/>
      <c r="E641" s="536" t="s">
        <v>2042</v>
      </c>
      <c r="F641" s="601"/>
      <c r="G641" s="625"/>
      <c r="H641" s="626"/>
      <c r="I641" s="624"/>
      <c r="J641" s="610" t="s">
        <v>2043</v>
      </c>
      <c r="K641" s="541" t="s">
        <v>2044</v>
      </c>
      <c r="L641" s="252" t="s">
        <v>2045</v>
      </c>
      <c r="M641" s="602">
        <v>70</v>
      </c>
      <c r="N641" s="578" t="s">
        <v>17</v>
      </c>
      <c r="O641" s="537"/>
      <c r="P641" s="603"/>
      <c r="Q641" s="576"/>
      <c r="R641" s="576"/>
      <c r="S641" s="577">
        <v>44023</v>
      </c>
      <c r="T641" s="159"/>
      <c r="U641" s="160"/>
      <c r="V641" s="161"/>
      <c r="W641" s="162"/>
      <c r="X641" s="163"/>
      <c r="Y641" s="163"/>
      <c r="Z641" s="164"/>
      <c r="AA641" s="165"/>
      <c r="AB641" s="166"/>
      <c r="AC641" s="167"/>
    </row>
    <row r="642" spans="1:38" s="168" customFormat="1" ht="18.75" customHeight="1">
      <c r="A642" s="359"/>
      <c r="B642" s="157"/>
      <c r="C642" s="158"/>
      <c r="D642" s="51"/>
      <c r="E642" s="536"/>
      <c r="F642" s="601"/>
      <c r="G642" s="625"/>
      <c r="H642" s="626"/>
      <c r="I642" s="624"/>
      <c r="J642" s="610"/>
      <c r="K642" s="541"/>
      <c r="L642" s="252"/>
      <c r="M642" s="602"/>
      <c r="N642" s="578" t="s">
        <v>17</v>
      </c>
      <c r="O642" s="537"/>
      <c r="P642" s="603"/>
      <c r="Q642" s="576"/>
      <c r="R642" s="576"/>
      <c r="S642" s="577"/>
      <c r="T642" s="159"/>
      <c r="U642" s="160"/>
      <c r="V642" s="161"/>
      <c r="W642" s="162"/>
      <c r="X642" s="163"/>
      <c r="Y642" s="163"/>
      <c r="Z642" s="164"/>
      <c r="AA642" s="165"/>
      <c r="AB642" s="166"/>
      <c r="AC642" s="167"/>
    </row>
    <row r="643" spans="1:38" s="168" customFormat="1" ht="18.75" customHeight="1">
      <c r="A643" s="359"/>
      <c r="B643" s="157"/>
      <c r="C643" s="158"/>
      <c r="D643" s="51"/>
      <c r="E643" s="536"/>
      <c r="F643" s="601"/>
      <c r="G643" s="625"/>
      <c r="H643" s="626"/>
      <c r="I643" s="624"/>
      <c r="J643" s="610"/>
      <c r="K643" s="541"/>
      <c r="L643" s="252"/>
      <c r="M643" s="602"/>
      <c r="N643" s="547"/>
      <c r="O643" s="537"/>
      <c r="P643" s="603"/>
      <c r="Q643" s="576"/>
      <c r="R643" s="576"/>
      <c r="S643" s="577"/>
      <c r="T643" s="159"/>
      <c r="U643" s="160"/>
      <c r="V643" s="161"/>
      <c r="W643" s="162"/>
      <c r="X643" s="163"/>
      <c r="Y643" s="163"/>
      <c r="Z643" s="164"/>
      <c r="AA643" s="165"/>
      <c r="AB643" s="166"/>
      <c r="AC643" s="167"/>
    </row>
    <row r="644" spans="1:38" s="168" customFormat="1" ht="18.75" customHeight="1">
      <c r="A644" s="359"/>
      <c r="B644" s="157"/>
      <c r="C644" s="158"/>
      <c r="D644" s="51"/>
      <c r="E644" s="536"/>
      <c r="F644" s="601"/>
      <c r="G644" s="625"/>
      <c r="H644" s="626"/>
      <c r="I644" s="624"/>
      <c r="J644" s="610"/>
      <c r="K644" s="541"/>
      <c r="L644" s="252"/>
      <c r="M644" s="602"/>
      <c r="N644" s="547"/>
      <c r="O644" s="537"/>
      <c r="P644" s="603"/>
      <c r="Q644" s="576"/>
      <c r="R644" s="576"/>
      <c r="S644" s="577"/>
      <c r="T644" s="159"/>
      <c r="U644" s="160"/>
      <c r="V644" s="161"/>
      <c r="W644" s="162"/>
      <c r="X644" s="163"/>
      <c r="Y644" s="163"/>
      <c r="Z644" s="164"/>
      <c r="AA644" s="165"/>
      <c r="AB644" s="166"/>
      <c r="AC644" s="167"/>
    </row>
    <row r="645" spans="1:38" s="203" customFormat="1" ht="21" customHeight="1">
      <c r="A645" s="359"/>
      <c r="B645" s="194"/>
      <c r="C645" s="202" t="str">
        <f>K$2</f>
        <v>10/08/2019</v>
      </c>
      <c r="D645" s="297"/>
      <c r="E645" s="297"/>
      <c r="F645" s="313"/>
      <c r="G645" s="642"/>
      <c r="H645" s="643"/>
      <c r="I645" s="624"/>
      <c r="J645" s="297" t="s">
        <v>861</v>
      </c>
      <c r="K645" s="297"/>
      <c r="L645" s="297"/>
      <c r="M645" s="373" t="s">
        <v>1003</v>
      </c>
      <c r="N645" s="297"/>
      <c r="O645" s="298"/>
      <c r="P645" s="575" t="str">
        <f t="shared" ref="P645:P670" si="51">IF(O645="",M645,M645-O645)</f>
        <v>*</v>
      </c>
      <c r="Q645" s="336"/>
      <c r="R645" s="527"/>
      <c r="S645" s="546"/>
      <c r="T645"/>
      <c r="U645"/>
      <c r="V645" s="341"/>
      <c r="W645" s="348"/>
      <c r="X645" s="256"/>
      <c r="Y645" s="63"/>
      <c r="Z645" s="257">
        <f>248200/292</f>
        <v>850</v>
      </c>
      <c r="AA645" s="65"/>
      <c r="AB645"/>
      <c r="AC645"/>
    </row>
    <row r="646" spans="1:38" ht="20.25">
      <c r="A646" s="359" t="s">
        <v>20</v>
      </c>
      <c r="B646" s="186"/>
      <c r="C646" s="188"/>
      <c r="D646" s="123" t="s">
        <v>515</v>
      </c>
      <c r="E646" s="124" t="s">
        <v>54</v>
      </c>
      <c r="F646" s="319" t="s">
        <v>1738</v>
      </c>
      <c r="G646" s="627"/>
      <c r="H646" s="627"/>
      <c r="I646" s="628"/>
      <c r="J646" s="718" t="s">
        <v>55</v>
      </c>
      <c r="K646" s="125" t="s">
        <v>56</v>
      </c>
      <c r="L646" s="125" t="s">
        <v>57</v>
      </c>
      <c r="M646" s="380">
        <v>2</v>
      </c>
      <c r="N646" s="127" t="s">
        <v>17</v>
      </c>
      <c r="O646" s="126"/>
      <c r="P646" s="90">
        <f t="shared" si="51"/>
        <v>2</v>
      </c>
      <c r="Q646" s="382" t="s">
        <v>2401</v>
      </c>
      <c r="R646" s="726"/>
      <c r="S646" s="383" t="s">
        <v>1739</v>
      </c>
      <c r="T646" s="27"/>
      <c r="U646" s="81"/>
      <c r="V646" s="738"/>
      <c r="W646" s="744"/>
      <c r="X646" s="63"/>
      <c r="Y646" s="139"/>
      <c r="Z646" s="131"/>
      <c r="AA646" s="140"/>
      <c r="AB646" s="141"/>
      <c r="AC646" s="141"/>
    </row>
    <row r="647" spans="1:38" s="168" customFormat="1" ht="18.75" customHeight="1">
      <c r="A647" s="359" t="s">
        <v>20</v>
      </c>
      <c r="B647" s="157"/>
      <c r="C647" s="158"/>
      <c r="D647" s="169" t="s">
        <v>495</v>
      </c>
      <c r="E647" s="124" t="s">
        <v>1778</v>
      </c>
      <c r="F647" s="320">
        <v>43543</v>
      </c>
      <c r="G647" s="625"/>
      <c r="H647" s="626"/>
      <c r="I647" s="632"/>
      <c r="J647" s="718" t="s">
        <v>1779</v>
      </c>
      <c r="K647" s="125" t="s">
        <v>1114</v>
      </c>
      <c r="L647" s="133" t="s">
        <v>293</v>
      </c>
      <c r="M647" s="370">
        <v>1</v>
      </c>
      <c r="N647" s="135" t="s">
        <v>17</v>
      </c>
      <c r="O647" s="235"/>
      <c r="P647" s="90">
        <f t="shared" si="51"/>
        <v>1</v>
      </c>
      <c r="Q647" s="283" t="s">
        <v>2264</v>
      </c>
      <c r="R647" s="726"/>
      <c r="S647" s="550" t="s">
        <v>1748</v>
      </c>
      <c r="T647" s="159"/>
      <c r="U647" s="160"/>
      <c r="V647" s="512"/>
      <c r="W647" s="160"/>
      <c r="X647" s="163"/>
      <c r="Y647" s="163"/>
      <c r="Z647" s="164"/>
      <c r="AA647" s="165"/>
      <c r="AB647" s="166"/>
      <c r="AC647" s="167"/>
    </row>
    <row r="648" spans="1:38" s="141" customFormat="1" ht="21" customHeight="1">
      <c r="A648" s="359" t="s">
        <v>28</v>
      </c>
      <c r="C648" s="176"/>
      <c r="D648" s="249" t="s">
        <v>587</v>
      </c>
      <c r="E648" s="233" t="s">
        <v>1488</v>
      </c>
      <c r="F648" s="319">
        <v>43542</v>
      </c>
      <c r="G648" s="629"/>
      <c r="H648" s="630"/>
      <c r="I648" s="624"/>
      <c r="J648" s="509" t="s">
        <v>1489</v>
      </c>
      <c r="K648" s="255" t="s">
        <v>1490</v>
      </c>
      <c r="L648" s="3" t="s">
        <v>1491</v>
      </c>
      <c r="M648" s="369">
        <v>4</v>
      </c>
      <c r="N648" s="236" t="s">
        <v>17</v>
      </c>
      <c r="O648" s="235"/>
      <c r="P648" s="90">
        <f t="shared" si="51"/>
        <v>4</v>
      </c>
      <c r="Q648" s="283" t="s">
        <v>2264</v>
      </c>
      <c r="R648" s="726"/>
      <c r="S648" s="383">
        <v>43985</v>
      </c>
      <c r="T648"/>
      <c r="U648"/>
      <c r="V648"/>
      <c r="W648"/>
      <c r="X648" s="256"/>
      <c r="Y648" s="63"/>
      <c r="Z648" s="257"/>
      <c r="AA648" s="65"/>
      <c r="AB648"/>
      <c r="AC648"/>
    </row>
    <row r="649" spans="1:38" s="649" customFormat="1" ht="20.25">
      <c r="A649" s="359" t="s">
        <v>66</v>
      </c>
      <c r="B649" s="661"/>
      <c r="C649" s="662"/>
      <c r="D649" s="123" t="s">
        <v>467</v>
      </c>
      <c r="E649" s="124" t="s">
        <v>1518</v>
      </c>
      <c r="F649" s="320">
        <v>43476</v>
      </c>
      <c r="G649" s="625"/>
      <c r="H649" s="626"/>
      <c r="I649" s="624"/>
      <c r="J649" s="506" t="s">
        <v>2003</v>
      </c>
      <c r="K649" s="125" t="s">
        <v>1520</v>
      </c>
      <c r="L649" s="133" t="s">
        <v>1521</v>
      </c>
      <c r="M649" s="714">
        <v>3</v>
      </c>
      <c r="N649" s="127" t="s">
        <v>17</v>
      </c>
      <c r="O649" s="663"/>
      <c r="P649" s="90">
        <f t="shared" si="51"/>
        <v>3</v>
      </c>
      <c r="Q649" s="283" t="s">
        <v>2264</v>
      </c>
      <c r="R649" s="726"/>
      <c r="S649" s="383">
        <v>43630</v>
      </c>
      <c r="T649" s="159"/>
      <c r="U649" s="160"/>
      <c r="V649" s="664"/>
      <c r="W649" s="665"/>
      <c r="X649" s="666"/>
      <c r="Y649" s="666"/>
      <c r="Z649" s="667"/>
      <c r="AA649" s="668"/>
      <c r="AB649" s="669"/>
      <c r="AC649" s="670"/>
      <c r="AD649" s="671"/>
      <c r="AE649" s="671"/>
      <c r="AF649" s="671"/>
      <c r="AG649" s="671"/>
      <c r="AH649" s="671"/>
      <c r="AI649" s="671"/>
      <c r="AJ649" s="671"/>
      <c r="AK649" s="671"/>
      <c r="AL649" s="671"/>
    </row>
    <row r="650" spans="1:38" s="168" customFormat="1" ht="18.75" customHeight="1">
      <c r="A650" s="359" t="s">
        <v>52</v>
      </c>
      <c r="B650" s="157"/>
      <c r="C650" s="158"/>
      <c r="D650" s="123" t="s">
        <v>464</v>
      </c>
      <c r="E650" s="124" t="s">
        <v>1856</v>
      </c>
      <c r="F650" s="320">
        <v>43557</v>
      </c>
      <c r="G650" s="625"/>
      <c r="H650" s="626"/>
      <c r="I650" s="624"/>
      <c r="J650" s="506" t="s">
        <v>1857</v>
      </c>
      <c r="K650" s="125" t="s">
        <v>1858</v>
      </c>
      <c r="L650" s="133" t="s">
        <v>1859</v>
      </c>
      <c r="M650" s="370">
        <v>2</v>
      </c>
      <c r="N650" s="127" t="s">
        <v>17</v>
      </c>
      <c r="O650" s="235"/>
      <c r="P650" s="90">
        <f t="shared" si="51"/>
        <v>2</v>
      </c>
      <c r="Q650" s="283" t="s">
        <v>2264</v>
      </c>
      <c r="R650" s="752"/>
      <c r="S650" s="277">
        <v>43833</v>
      </c>
      <c r="T650" s="159"/>
      <c r="U650" s="160"/>
      <c r="V650" s="161"/>
      <c r="W650" s="162"/>
      <c r="X650" s="163"/>
      <c r="Y650" s="163"/>
      <c r="Z650" s="164"/>
      <c r="AA650" s="165"/>
      <c r="AB650" s="166"/>
      <c r="AC650" s="167"/>
    </row>
    <row r="651" spans="1:38" s="168" customFormat="1" ht="19.5" customHeight="1">
      <c r="A651" s="359" t="s">
        <v>28</v>
      </c>
      <c r="B651" s="157"/>
      <c r="C651" s="158"/>
      <c r="D651" s="123" t="s">
        <v>365</v>
      </c>
      <c r="E651" s="124" t="s">
        <v>1773</v>
      </c>
      <c r="F651" s="320" t="s">
        <v>1776</v>
      </c>
      <c r="G651" s="625"/>
      <c r="H651" s="626"/>
      <c r="I651" s="624"/>
      <c r="J651" s="506" t="s">
        <v>1774</v>
      </c>
      <c r="K651" s="125" t="s">
        <v>1397</v>
      </c>
      <c r="L651" s="133" t="s">
        <v>1775</v>
      </c>
      <c r="M651" s="370">
        <v>3</v>
      </c>
      <c r="N651" s="127" t="s">
        <v>17</v>
      </c>
      <c r="O651" s="235"/>
      <c r="P651" s="90">
        <f t="shared" si="51"/>
        <v>3</v>
      </c>
      <c r="Q651" s="283" t="s">
        <v>2227</v>
      </c>
      <c r="R651" s="726"/>
      <c r="S651" s="277" t="s">
        <v>168</v>
      </c>
      <c r="T651" s="159"/>
      <c r="U651" s="160"/>
      <c r="V651" s="664"/>
      <c r="W651" s="160"/>
      <c r="X651" s="163"/>
      <c r="Y651" s="163"/>
      <c r="Z651" s="164"/>
      <c r="AA651" s="165"/>
      <c r="AB651" s="166"/>
      <c r="AC651" s="167"/>
    </row>
    <row r="652" spans="1:38" ht="20.25" customHeight="1">
      <c r="A652" s="377" t="s">
        <v>66</v>
      </c>
      <c r="D652" s="169" t="s">
        <v>722</v>
      </c>
      <c r="E652" s="124" t="s">
        <v>1483</v>
      </c>
      <c r="F652" s="321" t="s">
        <v>2031</v>
      </c>
      <c r="G652" s="625"/>
      <c r="H652" s="626"/>
      <c r="I652" s="624"/>
      <c r="J652" s="506" t="s">
        <v>2033</v>
      </c>
      <c r="K652" s="125" t="s">
        <v>997</v>
      </c>
      <c r="L652" s="133" t="s">
        <v>1484</v>
      </c>
      <c r="M652" s="714">
        <v>5</v>
      </c>
      <c r="N652" s="171" t="s">
        <v>17</v>
      </c>
      <c r="O652" s="235"/>
      <c r="P652" s="90">
        <v>5</v>
      </c>
      <c r="Q652" s="332" t="s">
        <v>2185</v>
      </c>
      <c r="R652" s="726"/>
      <c r="S652" s="288">
        <v>43751</v>
      </c>
      <c r="T652" s="27"/>
      <c r="U652" s="81"/>
      <c r="V652" s="738"/>
      <c r="W652" s="744"/>
      <c r="X652" s="60"/>
      <c r="Y652" s="60"/>
      <c r="Z652" s="83"/>
      <c r="AA652" s="62"/>
      <c r="AB652" s="142"/>
      <c r="AC652" s="117"/>
    </row>
    <row r="653" spans="1:38" s="168" customFormat="1" ht="18.75" customHeight="1">
      <c r="A653" s="377" t="s">
        <v>66</v>
      </c>
      <c r="B653" s="157"/>
      <c r="C653" s="158"/>
      <c r="D653" s="15" t="s">
        <v>1260</v>
      </c>
      <c r="E653" s="124" t="s">
        <v>1317</v>
      </c>
      <c r="F653" s="321" t="s">
        <v>1782</v>
      </c>
      <c r="G653" s="625"/>
      <c r="H653" s="626"/>
      <c r="I653" s="624"/>
      <c r="J653" s="506" t="s">
        <v>1790</v>
      </c>
      <c r="K653" s="125" t="s">
        <v>1030</v>
      </c>
      <c r="L653" s="133" t="s">
        <v>1318</v>
      </c>
      <c r="M653" s="370">
        <v>1</v>
      </c>
      <c r="N653" s="127" t="s">
        <v>17</v>
      </c>
      <c r="O653" s="235"/>
      <c r="P653" s="90">
        <f t="shared" si="51"/>
        <v>1</v>
      </c>
      <c r="Q653" s="283" t="s">
        <v>2165</v>
      </c>
      <c r="R653" s="726"/>
      <c r="S653" s="288" t="s">
        <v>1766</v>
      </c>
      <c r="T653" s="159"/>
      <c r="U653" s="160"/>
      <c r="V653" s="161"/>
      <c r="W653" s="162"/>
      <c r="X653" s="163"/>
      <c r="Y653" s="163"/>
      <c r="Z653" s="164"/>
      <c r="AA653" s="165"/>
      <c r="AB653" s="166"/>
      <c r="AC653" s="167"/>
    </row>
    <row r="654" spans="1:38" s="168" customFormat="1" ht="18.75" customHeight="1">
      <c r="A654" s="359" t="s">
        <v>20</v>
      </c>
      <c r="B654" s="157"/>
      <c r="C654" s="158"/>
      <c r="D654" s="15" t="s">
        <v>1851</v>
      </c>
      <c r="E654" s="124" t="s">
        <v>486</v>
      </c>
      <c r="F654" s="320">
        <v>43263</v>
      </c>
      <c r="G654" s="625"/>
      <c r="H654" s="626"/>
      <c r="I654" s="624"/>
      <c r="J654" s="506" t="s">
        <v>136</v>
      </c>
      <c r="K654" s="125" t="s">
        <v>1008</v>
      </c>
      <c r="L654" s="133" t="s">
        <v>1335</v>
      </c>
      <c r="M654" s="370">
        <v>3</v>
      </c>
      <c r="N654" s="127" t="s">
        <v>17</v>
      </c>
      <c r="O654" s="235"/>
      <c r="P654" s="90">
        <f t="shared" si="51"/>
        <v>3</v>
      </c>
      <c r="Q654" s="283" t="s">
        <v>2165</v>
      </c>
      <c r="R654" s="726"/>
      <c r="S654" s="277">
        <v>43692</v>
      </c>
      <c r="T654" s="159"/>
      <c r="U654" s="160"/>
      <c r="V654" s="161"/>
      <c r="W654" s="162"/>
      <c r="X654" s="163"/>
      <c r="Y654" s="163"/>
      <c r="Z654" s="164">
        <v>2500</v>
      </c>
      <c r="AA654" s="165"/>
      <c r="AB654" s="166"/>
      <c r="AC654" s="167"/>
    </row>
    <row r="655" spans="1:38" s="58" customFormat="1" ht="21" customHeight="1">
      <c r="A655" s="359" t="s">
        <v>28</v>
      </c>
      <c r="B655" s="79"/>
      <c r="C655" s="80"/>
      <c r="D655" s="169" t="s">
        <v>495</v>
      </c>
      <c r="E655" s="181" t="s">
        <v>1974</v>
      </c>
      <c r="F655" s="318" t="s">
        <v>1973</v>
      </c>
      <c r="G655" s="622"/>
      <c r="H655" s="623"/>
      <c r="I655" s="624"/>
      <c r="J655" s="517" t="s">
        <v>1712</v>
      </c>
      <c r="K655" s="133" t="s">
        <v>1713</v>
      </c>
      <c r="L655" s="133" t="s">
        <v>1395</v>
      </c>
      <c r="M655" s="368">
        <v>1</v>
      </c>
      <c r="N655" s="171" t="s">
        <v>17</v>
      </c>
      <c r="O655" s="235"/>
      <c r="P655" s="90">
        <f t="shared" si="51"/>
        <v>1</v>
      </c>
      <c r="Q655" s="283" t="s">
        <v>2145</v>
      </c>
      <c r="R655" s="726"/>
      <c r="S655" s="277" t="s">
        <v>1975</v>
      </c>
      <c r="T655" s="42"/>
      <c r="U655" s="45"/>
      <c r="V655" s="32"/>
      <c r="W655" s="33"/>
      <c r="X655" s="60"/>
      <c r="Y655" s="60"/>
      <c r="Z655" s="61"/>
      <c r="AA655" s="62"/>
      <c r="AB655" s="142"/>
      <c r="AC655" s="117"/>
    </row>
    <row r="656" spans="1:38" s="168" customFormat="1" ht="18.75" customHeight="1">
      <c r="A656" s="359" t="s">
        <v>28</v>
      </c>
      <c r="B656" s="157"/>
      <c r="C656" s="158"/>
      <c r="D656" s="249" t="s">
        <v>580</v>
      </c>
      <c r="E656" s="124" t="s">
        <v>1597</v>
      </c>
      <c r="F656" s="320" t="s">
        <v>1886</v>
      </c>
      <c r="G656" s="625"/>
      <c r="H656" s="626"/>
      <c r="I656" s="624"/>
      <c r="J656" s="517" t="s">
        <v>1598</v>
      </c>
      <c r="K656" s="125" t="s">
        <v>1146</v>
      </c>
      <c r="L656" s="133" t="s">
        <v>1599</v>
      </c>
      <c r="M656" s="370">
        <v>0.55000000000000004</v>
      </c>
      <c r="N656" s="127" t="s">
        <v>17</v>
      </c>
      <c r="O656" s="235"/>
      <c r="P656" s="90">
        <f t="shared" si="51"/>
        <v>0.55000000000000004</v>
      </c>
      <c r="Q656" s="283" t="s">
        <v>2138</v>
      </c>
      <c r="R656" s="726"/>
      <c r="S656" s="550" t="s">
        <v>1887</v>
      </c>
      <c r="T656" s="159"/>
      <c r="U656" s="160"/>
      <c r="V656" s="512"/>
      <c r="W656" s="160"/>
      <c r="X656" s="163"/>
      <c r="Y656" s="163"/>
      <c r="Z656" s="164"/>
      <c r="AA656" s="165"/>
      <c r="AB656" s="166"/>
      <c r="AC656" s="167"/>
    </row>
    <row r="657" spans="1:29" s="168" customFormat="1" ht="18" customHeight="1">
      <c r="A657" s="359" t="s">
        <v>71</v>
      </c>
      <c r="B657" s="157"/>
      <c r="C657" s="158"/>
      <c r="D657" s="169" t="s">
        <v>114</v>
      </c>
      <c r="E657" s="124" t="s">
        <v>1644</v>
      </c>
      <c r="F657" s="320">
        <v>43468</v>
      </c>
      <c r="G657" s="625"/>
      <c r="H657" s="626"/>
      <c r="I657" s="624"/>
      <c r="J657" s="506" t="s">
        <v>1648</v>
      </c>
      <c r="K657" s="125" t="s">
        <v>1652</v>
      </c>
      <c r="L657" s="133" t="s">
        <v>1661</v>
      </c>
      <c r="M657" s="370">
        <v>2</v>
      </c>
      <c r="N657" s="127" t="s">
        <v>1660</v>
      </c>
      <c r="O657" s="235"/>
      <c r="P657" s="90">
        <f t="shared" si="51"/>
        <v>2</v>
      </c>
      <c r="Q657" s="526" t="s">
        <v>2022</v>
      </c>
      <c r="R657" s="726"/>
      <c r="S657" s="383" t="s">
        <v>168</v>
      </c>
      <c r="T657" s="159"/>
      <c r="U657" s="160"/>
      <c r="V657" s="512"/>
      <c r="W657" s="160"/>
      <c r="X657" s="163"/>
      <c r="Y657" s="163"/>
      <c r="Z657" s="164"/>
      <c r="AA657" s="165"/>
      <c r="AB657" s="166"/>
      <c r="AC657" s="167"/>
    </row>
    <row r="658" spans="1:29" ht="20.25">
      <c r="A658" s="377" t="s">
        <v>28</v>
      </c>
      <c r="B658" s="186"/>
      <c r="C658" s="188"/>
      <c r="D658" s="249" t="s">
        <v>639</v>
      </c>
      <c r="E658" s="124" t="s">
        <v>1535</v>
      </c>
      <c r="F658" s="650"/>
      <c r="G658" s="627"/>
      <c r="H658" s="627"/>
      <c r="I658" s="628"/>
      <c r="J658" s="508" t="s">
        <v>1533</v>
      </c>
      <c r="K658" s="379" t="s">
        <v>1534</v>
      </c>
      <c r="L658" s="125" t="s">
        <v>1405</v>
      </c>
      <c r="M658" s="651">
        <v>1</v>
      </c>
      <c r="N658" s="652" t="s">
        <v>17</v>
      </c>
      <c r="O658" s="126"/>
      <c r="P658" s="381">
        <f t="shared" si="51"/>
        <v>1</v>
      </c>
      <c r="Q658" s="382" t="s">
        <v>2008</v>
      </c>
      <c r="R658" s="726"/>
      <c r="S658" s="383" t="s">
        <v>1972</v>
      </c>
      <c r="T658" s="653"/>
      <c r="U658" s="654"/>
      <c r="V658" s="655"/>
      <c r="W658" s="654"/>
      <c r="X658" s="656"/>
      <c r="Y658" s="657"/>
      <c r="Z658" s="658"/>
      <c r="AA658" s="659"/>
      <c r="AB658" s="660"/>
      <c r="AC658" s="660"/>
    </row>
    <row r="659" spans="1:29" s="168" customFormat="1" ht="18.75" customHeight="1">
      <c r="A659" s="359" t="s">
        <v>20</v>
      </c>
      <c r="B659" s="157"/>
      <c r="C659" s="158"/>
      <c r="D659" s="51" t="s">
        <v>787</v>
      </c>
      <c r="E659" s="536" t="s">
        <v>305</v>
      </c>
      <c r="F659" s="601">
        <v>43363</v>
      </c>
      <c r="G659" s="625"/>
      <c r="H659" s="626"/>
      <c r="I659" s="624"/>
      <c r="J659" s="610" t="s">
        <v>306</v>
      </c>
      <c r="K659" s="541" t="s">
        <v>307</v>
      </c>
      <c r="L659" s="252" t="s">
        <v>308</v>
      </c>
      <c r="M659" s="602">
        <v>2</v>
      </c>
      <c r="N659" s="547" t="s">
        <v>17</v>
      </c>
      <c r="O659" s="537"/>
      <c r="P659" s="603">
        <f t="shared" si="51"/>
        <v>2</v>
      </c>
      <c r="Q659" s="704" t="s">
        <v>2004</v>
      </c>
      <c r="R659" s="726"/>
      <c r="S659" s="277">
        <v>43593</v>
      </c>
      <c r="T659" s="159"/>
      <c r="U659" s="160"/>
      <c r="V659" s="161"/>
      <c r="W659" s="162"/>
      <c r="X659" s="163"/>
      <c r="Y659" s="163"/>
      <c r="Z659" s="164"/>
      <c r="AA659" s="165"/>
      <c r="AB659" s="166"/>
      <c r="AC659" s="167"/>
    </row>
    <row r="660" spans="1:29" s="168" customFormat="1" ht="18.75" customHeight="1">
      <c r="A660" s="359" t="s">
        <v>20</v>
      </c>
      <c r="B660" s="157"/>
      <c r="C660" s="158"/>
      <c r="D660" s="123" t="s">
        <v>1594</v>
      </c>
      <c r="E660" s="124" t="s">
        <v>336</v>
      </c>
      <c r="F660" s="320">
        <v>43543</v>
      </c>
      <c r="G660" s="625"/>
      <c r="H660" s="626"/>
      <c r="I660" s="624"/>
      <c r="J660" s="718" t="s">
        <v>1336</v>
      </c>
      <c r="K660" s="125" t="s">
        <v>1009</v>
      </c>
      <c r="L660" s="133" t="s">
        <v>294</v>
      </c>
      <c r="M660" s="370">
        <v>1</v>
      </c>
      <c r="N660" s="135" t="s">
        <v>17</v>
      </c>
      <c r="O660" s="235"/>
      <c r="P660" s="90">
        <f t="shared" si="51"/>
        <v>1</v>
      </c>
      <c r="Q660" s="283" t="s">
        <v>1987</v>
      </c>
      <c r="R660" s="726"/>
      <c r="S660" s="550" t="s">
        <v>1767</v>
      </c>
      <c r="T660" s="159"/>
      <c r="U660" s="160"/>
      <c r="V660" s="512"/>
      <c r="W660" s="160"/>
      <c r="X660" s="163"/>
      <c r="Y660" s="163"/>
      <c r="Z660" s="164"/>
      <c r="AA660" s="165"/>
      <c r="AB660" s="166"/>
      <c r="AC660" s="167"/>
    </row>
    <row r="661" spans="1:29" ht="20.25" customHeight="1">
      <c r="A661" s="377" t="s">
        <v>28</v>
      </c>
      <c r="B661" s="186"/>
      <c r="C661" s="188"/>
      <c r="D661" s="249" t="s">
        <v>990</v>
      </c>
      <c r="E661" s="124" t="s">
        <v>907</v>
      </c>
      <c r="F661" s="378"/>
      <c r="G661" s="627"/>
      <c r="H661" s="627"/>
      <c r="I661" s="628"/>
      <c r="J661" s="718" t="s">
        <v>933</v>
      </c>
      <c r="K661" s="125" t="s">
        <v>908</v>
      </c>
      <c r="L661" s="125" t="s">
        <v>1192</v>
      </c>
      <c r="M661" s="380">
        <v>1</v>
      </c>
      <c r="N661" s="236" t="s">
        <v>17</v>
      </c>
      <c r="O661" s="235"/>
      <c r="P661" s="90">
        <f t="shared" si="51"/>
        <v>1</v>
      </c>
      <c r="Q661" s="382"/>
      <c r="R661" s="726" t="s">
        <v>1983</v>
      </c>
      <c r="S661" s="383">
        <v>43712</v>
      </c>
      <c r="T661" s="27"/>
      <c r="U661" s="81"/>
      <c r="V661" s="738"/>
      <c r="W661" s="744"/>
      <c r="X661" s="63">
        <v>43.33</v>
      </c>
      <c r="Y661" s="139"/>
      <c r="Z661" s="131"/>
      <c r="AA661" s="140"/>
      <c r="AB661" s="141"/>
      <c r="AC661" s="141"/>
    </row>
    <row r="662" spans="1:29" s="141" customFormat="1" ht="20.25" customHeight="1">
      <c r="A662" s="359" t="s">
        <v>20</v>
      </c>
      <c r="B662" s="186"/>
      <c r="C662" s="188"/>
      <c r="D662" s="15" t="s">
        <v>1099</v>
      </c>
      <c r="E662" s="124" t="s">
        <v>93</v>
      </c>
      <c r="F662" s="378">
        <v>43565</v>
      </c>
      <c r="G662" s="627"/>
      <c r="H662" s="631"/>
      <c r="I662" s="632"/>
      <c r="J662" s="517" t="s">
        <v>90</v>
      </c>
      <c r="K662" s="125" t="s">
        <v>91</v>
      </c>
      <c r="L662" s="125" t="s">
        <v>1571</v>
      </c>
      <c r="M662" s="514">
        <v>3</v>
      </c>
      <c r="N662" s="135" t="s">
        <v>17</v>
      </c>
      <c r="O662" s="235"/>
      <c r="P662" s="90">
        <f t="shared" si="51"/>
        <v>3</v>
      </c>
      <c r="Q662" s="382" t="s">
        <v>1979</v>
      </c>
      <c r="R662" s="726"/>
      <c r="S662" s="383" t="s">
        <v>1832</v>
      </c>
      <c r="T662" s="27"/>
      <c r="U662" s="81"/>
      <c r="V662" s="82"/>
      <c r="W662" s="81"/>
      <c r="X662" s="63"/>
      <c r="Y662" s="139"/>
      <c r="Z662" s="131"/>
      <c r="AA662" s="140"/>
    </row>
    <row r="663" spans="1:29" ht="19.5" customHeight="1">
      <c r="A663" s="377" t="s">
        <v>28</v>
      </c>
      <c r="B663" s="186"/>
      <c r="C663" s="188"/>
      <c r="D663" s="15" t="s">
        <v>592</v>
      </c>
      <c r="E663" s="124" t="s">
        <v>1884</v>
      </c>
      <c r="F663" s="320" t="s">
        <v>1883</v>
      </c>
      <c r="G663" s="627"/>
      <c r="H663" s="631"/>
      <c r="I663" s="632"/>
      <c r="J663" s="718" t="s">
        <v>1712</v>
      </c>
      <c r="K663" s="125" t="s">
        <v>1713</v>
      </c>
      <c r="L663" s="125" t="s">
        <v>1395</v>
      </c>
      <c r="M663" s="675">
        <v>1</v>
      </c>
      <c r="N663" s="127" t="s">
        <v>17</v>
      </c>
      <c r="O663" s="126"/>
      <c r="P663" s="381">
        <f t="shared" si="51"/>
        <v>1</v>
      </c>
      <c r="Q663" s="382" t="s">
        <v>860</v>
      </c>
      <c r="R663" s="732"/>
      <c r="S663" s="383" t="s">
        <v>168</v>
      </c>
      <c r="T663" s="653"/>
      <c r="U663" s="654"/>
      <c r="V663" s="672"/>
      <c r="W663" s="673"/>
      <c r="X663" s="656"/>
      <c r="Y663" s="657"/>
      <c r="Z663" s="658"/>
      <c r="AA663" s="659"/>
      <c r="AB663" s="660"/>
      <c r="AC663" s="660"/>
    </row>
    <row r="664" spans="1:29" s="168" customFormat="1" ht="18.75" customHeight="1">
      <c r="A664" s="359" t="s">
        <v>28</v>
      </c>
      <c r="B664" s="157"/>
      <c r="C664" s="158"/>
      <c r="D664" s="15" t="s">
        <v>592</v>
      </c>
      <c r="E664" s="124" t="s">
        <v>1042</v>
      </c>
      <c r="F664" s="320">
        <v>43566</v>
      </c>
      <c r="G664" s="625"/>
      <c r="H664" s="626"/>
      <c r="I664" s="632"/>
      <c r="J664" s="506" t="s">
        <v>1839</v>
      </c>
      <c r="K664" s="125" t="s">
        <v>1838</v>
      </c>
      <c r="L664" s="133" t="s">
        <v>1043</v>
      </c>
      <c r="M664" s="370">
        <v>1</v>
      </c>
      <c r="N664" s="127" t="s">
        <v>17</v>
      </c>
      <c r="O664" s="235"/>
      <c r="P664" s="90">
        <f t="shared" si="51"/>
        <v>1</v>
      </c>
      <c r="Q664" s="283" t="s">
        <v>860</v>
      </c>
      <c r="R664" s="732"/>
      <c r="S664" s="383"/>
      <c r="T664" s="159"/>
      <c r="U664" s="160"/>
      <c r="V664" s="512"/>
      <c r="W664" s="160"/>
      <c r="X664" s="163"/>
      <c r="Y664" s="163"/>
      <c r="Z664" s="164"/>
      <c r="AA664" s="165"/>
      <c r="AB664" s="166"/>
      <c r="AC664" s="167"/>
    </row>
    <row r="666" spans="1:29" s="156" customFormat="1" ht="20.25" customHeight="1">
      <c r="A666" s="359"/>
      <c r="B666" s="172"/>
      <c r="C666" s="173"/>
      <c r="D666" s="169" t="s">
        <v>264</v>
      </c>
      <c r="E666" s="181" t="s">
        <v>1678</v>
      </c>
      <c r="F666" s="318">
        <v>43480</v>
      </c>
      <c r="G666" s="622"/>
      <c r="H666" s="623"/>
      <c r="I666" s="624"/>
      <c r="J666" s="517" t="s">
        <v>779</v>
      </c>
      <c r="K666" s="133"/>
      <c r="L666" s="133" t="s">
        <v>1679</v>
      </c>
      <c r="M666" s="368">
        <v>1</v>
      </c>
      <c r="N666" s="127" t="s">
        <v>17</v>
      </c>
      <c r="O666" s="235"/>
      <c r="P666" s="90">
        <f t="shared" si="51"/>
        <v>1</v>
      </c>
      <c r="Q666" s="271" t="s">
        <v>875</v>
      </c>
      <c r="R666" s="717"/>
      <c r="S666" s="383" t="s">
        <v>168</v>
      </c>
      <c r="T666" s="178"/>
      <c r="U666" s="91"/>
      <c r="V666" s="182"/>
      <c r="W666" s="183"/>
      <c r="X666" s="153"/>
      <c r="Y666" s="153"/>
      <c r="Z666" s="179"/>
      <c r="AA666" s="155"/>
      <c r="AB666" s="115"/>
      <c r="AC666" s="132"/>
    </row>
    <row r="667" spans="1:29" ht="20.25">
      <c r="A667" s="377" t="s">
        <v>20</v>
      </c>
      <c r="B667" s="186"/>
      <c r="C667" s="188"/>
      <c r="D667" s="15" t="s">
        <v>582</v>
      </c>
      <c r="E667" s="124" t="s">
        <v>72</v>
      </c>
      <c r="F667" s="378" t="s">
        <v>1708</v>
      </c>
      <c r="G667" s="627"/>
      <c r="H667" s="627"/>
      <c r="I667" s="628"/>
      <c r="J667" s="508" t="s">
        <v>1057</v>
      </c>
      <c r="K667" s="379" t="s">
        <v>13</v>
      </c>
      <c r="L667" s="125" t="s">
        <v>11</v>
      </c>
      <c r="M667" s="380">
        <v>1</v>
      </c>
      <c r="N667" s="127" t="s">
        <v>17</v>
      </c>
      <c r="O667" s="126"/>
      <c r="P667" s="90">
        <f t="shared" si="51"/>
        <v>1</v>
      </c>
      <c r="Q667" s="271" t="s">
        <v>875</v>
      </c>
      <c r="R667" s="579"/>
      <c r="S667" s="383" t="s">
        <v>1780</v>
      </c>
      <c r="T667" s="27"/>
      <c r="U667" s="81"/>
      <c r="V667" s="82"/>
      <c r="W667" s="81"/>
      <c r="X667" s="63"/>
      <c r="Y667" s="139"/>
      <c r="Z667" s="131"/>
      <c r="AA667" s="140"/>
      <c r="AB667" s="141"/>
      <c r="AC667" s="141"/>
    </row>
    <row r="668" spans="1:29" s="168" customFormat="1" ht="19.5" customHeight="1">
      <c r="A668" s="359" t="s">
        <v>66</v>
      </c>
      <c r="B668" s="157"/>
      <c r="C668" s="158"/>
      <c r="D668" s="169" t="s">
        <v>470</v>
      </c>
      <c r="E668" s="124" t="s">
        <v>1518</v>
      </c>
      <c r="F668" s="320">
        <v>43476</v>
      </c>
      <c r="G668" s="625"/>
      <c r="H668" s="626"/>
      <c r="I668" s="624"/>
      <c r="J668" s="506" t="s">
        <v>1760</v>
      </c>
      <c r="K668" s="125" t="s">
        <v>1520</v>
      </c>
      <c r="L668" s="133" t="s">
        <v>1521</v>
      </c>
      <c r="M668" s="370">
        <v>4</v>
      </c>
      <c r="N668" s="127" t="s">
        <v>17</v>
      </c>
      <c r="O668" s="235"/>
      <c r="P668" s="90">
        <f t="shared" si="51"/>
        <v>4</v>
      </c>
      <c r="Q668" s="283" t="s">
        <v>1815</v>
      </c>
      <c r="R668" s="283"/>
      <c r="S668" s="383">
        <v>43630</v>
      </c>
      <c r="T668" s="159"/>
      <c r="U668" s="160"/>
      <c r="V668" s="512"/>
      <c r="W668" s="160"/>
      <c r="X668" s="163"/>
      <c r="Y668" s="163"/>
      <c r="Z668" s="164"/>
      <c r="AA668" s="165"/>
      <c r="AB668" s="166"/>
      <c r="AC668" s="167"/>
    </row>
    <row r="669" spans="1:29" ht="20.25" customHeight="1">
      <c r="A669" s="359" t="s">
        <v>66</v>
      </c>
      <c r="D669" s="249" t="s">
        <v>453</v>
      </c>
      <c r="E669" s="124" t="s">
        <v>140</v>
      </c>
      <c r="F669" s="321" t="s">
        <v>1782</v>
      </c>
      <c r="G669" s="625"/>
      <c r="H669" s="626"/>
      <c r="I669" s="624"/>
      <c r="J669" s="506" t="s">
        <v>141</v>
      </c>
      <c r="K669" s="125" t="s">
        <v>1001</v>
      </c>
      <c r="L669" s="133" t="s">
        <v>81</v>
      </c>
      <c r="M669" s="370">
        <v>12</v>
      </c>
      <c r="N669" s="171" t="s">
        <v>17</v>
      </c>
      <c r="O669" s="235"/>
      <c r="P669" s="90">
        <f t="shared" si="51"/>
        <v>12</v>
      </c>
      <c r="Q669" s="332" t="s">
        <v>1812</v>
      </c>
      <c r="R669" s="544"/>
      <c r="S669" s="288" t="s">
        <v>1768</v>
      </c>
      <c r="T669" s="27"/>
      <c r="U669" s="81"/>
      <c r="V669" s="82"/>
      <c r="W669" s="81"/>
      <c r="X669" s="60"/>
      <c r="Y669" s="60"/>
      <c r="Z669" s="83"/>
      <c r="AA669" s="62"/>
      <c r="AB669" s="142"/>
      <c r="AC669" s="117"/>
    </row>
    <row r="670" spans="1:29" s="168" customFormat="1" ht="18.75" customHeight="1">
      <c r="A670" s="359" t="s">
        <v>20</v>
      </c>
      <c r="B670" s="157"/>
      <c r="C670" s="158"/>
      <c r="D670" s="15" t="s">
        <v>837</v>
      </c>
      <c r="E670" s="124" t="s">
        <v>132</v>
      </c>
      <c r="F670" s="320">
        <v>43447</v>
      </c>
      <c r="G670" s="625"/>
      <c r="H670" s="626"/>
      <c r="I670" s="624"/>
      <c r="J670" s="506" t="s">
        <v>133</v>
      </c>
      <c r="K670" s="125" t="s">
        <v>134</v>
      </c>
      <c r="L670" s="133" t="s">
        <v>1572</v>
      </c>
      <c r="M670" s="370">
        <v>1</v>
      </c>
      <c r="N670" s="127" t="s">
        <v>17</v>
      </c>
      <c r="O670" s="235"/>
      <c r="P670" s="90">
        <f t="shared" si="51"/>
        <v>1</v>
      </c>
      <c r="Q670" s="283"/>
      <c r="R670" s="283"/>
      <c r="S670" s="277">
        <v>43767</v>
      </c>
      <c r="T670" s="159"/>
      <c r="U670" s="160"/>
      <c r="V670" s="161"/>
      <c r="W670" s="162"/>
      <c r="X670" s="163"/>
      <c r="Y670" s="163"/>
      <c r="Z670" s="164"/>
      <c r="AA670" s="165"/>
      <c r="AB670" s="166"/>
      <c r="AC670" s="167"/>
    </row>
    <row r="671" spans="1:29" s="168" customFormat="1" ht="20.25">
      <c r="A671" s="359" t="s">
        <v>20</v>
      </c>
      <c r="B671" s="157"/>
      <c r="C671" s="158"/>
      <c r="D671" s="169" t="s">
        <v>519</v>
      </c>
      <c r="E671" s="124" t="s">
        <v>72</v>
      </c>
      <c r="F671" s="320">
        <v>43417</v>
      </c>
      <c r="G671" s="625"/>
      <c r="H671" s="626"/>
      <c r="I671" s="624"/>
      <c r="J671" s="506" t="s">
        <v>1720</v>
      </c>
      <c r="K671" s="125" t="s">
        <v>13</v>
      </c>
      <c r="L671" s="133" t="s">
        <v>11</v>
      </c>
      <c r="M671" s="370">
        <v>2</v>
      </c>
      <c r="N671" s="127" t="s">
        <v>17</v>
      </c>
      <c r="O671" s="235"/>
      <c r="P671" s="90">
        <f t="shared" ref="P671:P700" si="52">IF(O671="",M671,M671-O671)</f>
        <v>2</v>
      </c>
      <c r="Q671" s="283" t="s">
        <v>1772</v>
      </c>
      <c r="R671" s="283"/>
      <c r="S671" s="383">
        <v>44101</v>
      </c>
      <c r="T671" s="159"/>
      <c r="U671" s="160"/>
      <c r="V671" s="664"/>
      <c r="W671" s="665"/>
      <c r="X671" s="163"/>
      <c r="Y671" s="163"/>
      <c r="Z671" s="164"/>
      <c r="AA671" s="165"/>
      <c r="AB671" s="166"/>
      <c r="AC671" s="167"/>
    </row>
    <row r="672" spans="1:29" ht="20.25" customHeight="1">
      <c r="A672" s="359" t="s">
        <v>28</v>
      </c>
      <c r="B672" s="186"/>
      <c r="C672" s="188"/>
      <c r="D672" s="123" t="s">
        <v>529</v>
      </c>
      <c r="E672" s="124" t="s">
        <v>1721</v>
      </c>
      <c r="F672" s="378" t="s">
        <v>1722</v>
      </c>
      <c r="G672" s="627"/>
      <c r="H672" s="631"/>
      <c r="I672" s="624"/>
      <c r="J672" s="508" t="s">
        <v>1723</v>
      </c>
      <c r="K672" s="379" t="s">
        <v>1724</v>
      </c>
      <c r="L672" s="125" t="s">
        <v>1395</v>
      </c>
      <c r="M672" s="514">
        <v>1</v>
      </c>
      <c r="N672" s="127" t="s">
        <v>14</v>
      </c>
      <c r="O672" s="235"/>
      <c r="P672" s="90">
        <f t="shared" si="52"/>
        <v>1</v>
      </c>
      <c r="Q672" s="382" t="s">
        <v>1759</v>
      </c>
      <c r="R672" s="607"/>
      <c r="S672" s="553" t="s">
        <v>1558</v>
      </c>
      <c r="T672" s="27"/>
      <c r="U672" s="81"/>
      <c r="V672" s="82"/>
      <c r="W672" s="81"/>
      <c r="X672" s="63"/>
      <c r="Y672" s="139"/>
      <c r="Z672" s="131"/>
      <c r="AA672" s="140"/>
      <c r="AB672" s="141"/>
      <c r="AC672" s="141"/>
    </row>
    <row r="673" spans="1:29" s="1" customFormat="1" ht="20.25" customHeight="1">
      <c r="A673" s="359" t="s">
        <v>28</v>
      </c>
      <c r="B673"/>
      <c r="C673" s="76"/>
      <c r="D673" s="249" t="s">
        <v>456</v>
      </c>
      <c r="E673" s="233" t="s">
        <v>1535</v>
      </c>
      <c r="F673" s="319">
        <v>43465</v>
      </c>
      <c r="G673" s="627"/>
      <c r="H673" s="631"/>
      <c r="I673" s="624"/>
      <c r="J673" s="519" t="s">
        <v>1533</v>
      </c>
      <c r="K673" s="379" t="s">
        <v>1534</v>
      </c>
      <c r="L673" s="3" t="s">
        <v>1405</v>
      </c>
      <c r="M673" s="369">
        <v>1</v>
      </c>
      <c r="N673" s="236" t="s">
        <v>17</v>
      </c>
      <c r="O673" s="235"/>
      <c r="P673" s="90">
        <f t="shared" si="52"/>
        <v>1</v>
      </c>
      <c r="Q673" s="328" t="s">
        <v>1752</v>
      </c>
      <c r="R673" s="283"/>
      <c r="S673" s="288">
        <v>43685</v>
      </c>
      <c r="T673" s="27"/>
      <c r="U673" s="8"/>
      <c r="V673" s="121"/>
      <c r="W673" s="8"/>
      <c r="X673" s="63"/>
      <c r="Y673" s="63"/>
      <c r="Z673" s="64"/>
      <c r="AA673" s="65"/>
      <c r="AB673"/>
      <c r="AC673"/>
    </row>
    <row r="674" spans="1:29" s="168" customFormat="1" ht="18.75" customHeight="1">
      <c r="A674" s="359" t="s">
        <v>20</v>
      </c>
      <c r="B674" s="157"/>
      <c r="C674" s="158"/>
      <c r="D674" s="133" t="s">
        <v>973</v>
      </c>
      <c r="E674" s="124" t="s">
        <v>93</v>
      </c>
      <c r="F674" s="320">
        <v>43447</v>
      </c>
      <c r="G674" s="625"/>
      <c r="H674" s="626"/>
      <c r="I674" s="624"/>
      <c r="J674" s="506" t="s">
        <v>90</v>
      </c>
      <c r="K674" s="125" t="s">
        <v>91</v>
      </c>
      <c r="L674" s="133" t="s">
        <v>1571</v>
      </c>
      <c r="M674" s="370">
        <v>5</v>
      </c>
      <c r="N674" s="127" t="s">
        <v>17</v>
      </c>
      <c r="O674" s="235"/>
      <c r="P674" s="90">
        <f t="shared" si="52"/>
        <v>5</v>
      </c>
      <c r="Q674" s="283"/>
      <c r="R674" s="605"/>
      <c r="S674" s="277">
        <v>43767</v>
      </c>
      <c r="T674" s="159"/>
      <c r="U674" s="160"/>
      <c r="V674" s="161"/>
      <c r="W674" s="162"/>
      <c r="X674" s="163"/>
      <c r="Y674" s="163"/>
      <c r="Z674" s="164"/>
      <c r="AA674" s="165"/>
      <c r="AB674" s="166"/>
      <c r="AC674" s="167"/>
    </row>
    <row r="675" spans="1:29" s="1" customFormat="1" ht="20.25" customHeight="1">
      <c r="A675" s="359" t="s">
        <v>28</v>
      </c>
      <c r="B675"/>
      <c r="C675" s="76"/>
      <c r="D675" s="169" t="s">
        <v>748</v>
      </c>
      <c r="E675" s="233" t="s">
        <v>1398</v>
      </c>
      <c r="F675" s="319"/>
      <c r="G675" s="627"/>
      <c r="H675" s="631"/>
      <c r="I675" s="624"/>
      <c r="J675" s="519" t="s">
        <v>1396</v>
      </c>
      <c r="K675" s="234" t="s">
        <v>1397</v>
      </c>
      <c r="L675" s="3" t="s">
        <v>1399</v>
      </c>
      <c r="M675" s="369">
        <v>94</v>
      </c>
      <c r="N675" s="259" t="s">
        <v>1352</v>
      </c>
      <c r="O675" s="235"/>
      <c r="P675" s="90">
        <f t="shared" si="52"/>
        <v>94</v>
      </c>
      <c r="Q675" s="328" t="s">
        <v>1311</v>
      </c>
      <c r="R675" s="283"/>
      <c r="S675" s="288" t="s">
        <v>168</v>
      </c>
      <c r="T675" s="27"/>
      <c r="U675" s="8"/>
      <c r="V675" s="121"/>
      <c r="W675" s="8"/>
      <c r="X675" s="63"/>
      <c r="Y675" s="63"/>
      <c r="Z675" s="64"/>
      <c r="AA675" s="65"/>
      <c r="AB675"/>
      <c r="AC675"/>
    </row>
    <row r="676" spans="1:29" s="1" customFormat="1" ht="20.25" customHeight="1">
      <c r="A676" s="359" t="s">
        <v>66</v>
      </c>
      <c r="B676" s="10"/>
      <c r="C676" s="76"/>
      <c r="D676" s="169" t="s">
        <v>975</v>
      </c>
      <c r="E676" s="149" t="s">
        <v>655</v>
      </c>
      <c r="F676" s="323">
        <v>43077</v>
      </c>
      <c r="G676" s="625"/>
      <c r="H676" s="626"/>
      <c r="I676" s="632"/>
      <c r="J676" s="506" t="s">
        <v>945</v>
      </c>
      <c r="K676" s="285" t="s">
        <v>946</v>
      </c>
      <c r="L676" s="290" t="s">
        <v>739</v>
      </c>
      <c r="M676" s="370">
        <v>1</v>
      </c>
      <c r="N676" s="177" t="s">
        <v>17</v>
      </c>
      <c r="O676" s="235"/>
      <c r="P676" s="90">
        <f t="shared" si="52"/>
        <v>1</v>
      </c>
      <c r="Q676" s="333" t="s">
        <v>1390</v>
      </c>
      <c r="R676" s="283"/>
      <c r="S676" s="288">
        <v>43376</v>
      </c>
      <c r="T676" s="72"/>
      <c r="U676" s="81"/>
      <c r="V676" s="82"/>
      <c r="W676" s="81"/>
      <c r="X676" s="60"/>
      <c r="Y676" s="60"/>
      <c r="Z676" s="83"/>
      <c r="AA676" s="62">
        <v>850</v>
      </c>
      <c r="AB676" s="142"/>
      <c r="AC676" s="117"/>
    </row>
    <row r="677" spans="1:29" ht="20.25">
      <c r="A677" s="377" t="s">
        <v>218</v>
      </c>
      <c r="B677" s="186"/>
      <c r="C677" s="188"/>
      <c r="D677" s="15" t="s">
        <v>810</v>
      </c>
      <c r="E677" s="124" t="s">
        <v>1607</v>
      </c>
      <c r="F677" s="378">
        <v>43398</v>
      </c>
      <c r="G677" s="627"/>
      <c r="H677" s="627"/>
      <c r="I677" s="628"/>
      <c r="J677" s="508" t="s">
        <v>1682</v>
      </c>
      <c r="K677" s="379" t="s">
        <v>1018</v>
      </c>
      <c r="L677" s="125" t="s">
        <v>86</v>
      </c>
      <c r="M677" s="380">
        <v>6</v>
      </c>
      <c r="N677" s="127" t="s">
        <v>17</v>
      </c>
      <c r="O677" s="126"/>
      <c r="P677" s="381">
        <f t="shared" si="52"/>
        <v>6</v>
      </c>
      <c r="Q677" s="382" t="s">
        <v>1707</v>
      </c>
      <c r="R677" s="566"/>
      <c r="S677" s="383">
        <v>43738</v>
      </c>
      <c r="T677" s="27"/>
      <c r="U677" s="81"/>
      <c r="V677" s="82"/>
      <c r="W677" s="81"/>
      <c r="X677" s="63"/>
      <c r="Y677" s="139"/>
      <c r="Z677" s="131"/>
      <c r="AA677" s="140"/>
      <c r="AB677" s="141"/>
      <c r="AC677" s="141"/>
    </row>
    <row r="678" spans="1:29" ht="20.25" customHeight="1">
      <c r="A678" s="377" t="s">
        <v>20</v>
      </c>
      <c r="B678" s="186"/>
      <c r="C678" s="188"/>
      <c r="D678" s="249" t="s">
        <v>560</v>
      </c>
      <c r="E678" s="124" t="s">
        <v>1513</v>
      </c>
      <c r="F678" s="378">
        <v>43368</v>
      </c>
      <c r="G678" s="627"/>
      <c r="H678" s="627"/>
      <c r="I678" s="628"/>
      <c r="J678" s="508" t="s">
        <v>1515</v>
      </c>
      <c r="K678" s="379" t="s">
        <v>1516</v>
      </c>
      <c r="L678" s="125" t="s">
        <v>1517</v>
      </c>
      <c r="M678" s="380">
        <v>3</v>
      </c>
      <c r="N678" s="236" t="s">
        <v>17</v>
      </c>
      <c r="O678" s="235"/>
      <c r="P678" s="90">
        <f t="shared" si="52"/>
        <v>3</v>
      </c>
      <c r="Q678" s="382" t="s">
        <v>1703</v>
      </c>
      <c r="R678" s="566"/>
      <c r="S678" s="553" t="s">
        <v>1558</v>
      </c>
      <c r="T678" s="27"/>
      <c r="U678" s="81"/>
      <c r="V678" s="82"/>
      <c r="W678" s="81"/>
      <c r="X678" s="63"/>
      <c r="Y678" s="139"/>
      <c r="Z678" s="131"/>
      <c r="AA678" s="140"/>
      <c r="AB678" s="141"/>
      <c r="AC678" s="141"/>
    </row>
    <row r="679" spans="1:29" s="168" customFormat="1" ht="20.25">
      <c r="A679" s="359" t="s">
        <v>20</v>
      </c>
      <c r="B679" s="157"/>
      <c r="C679" s="158"/>
      <c r="D679" s="123" t="s">
        <v>458</v>
      </c>
      <c r="E679" s="124" t="s">
        <v>137</v>
      </c>
      <c r="F679" s="320">
        <v>43417</v>
      </c>
      <c r="G679" s="625"/>
      <c r="H679" s="626"/>
      <c r="I679" s="624"/>
      <c r="J679" s="506" t="s">
        <v>1667</v>
      </c>
      <c r="K679" s="125" t="s">
        <v>292</v>
      </c>
      <c r="L679" s="133" t="s">
        <v>10</v>
      </c>
      <c r="M679" s="370">
        <v>2</v>
      </c>
      <c r="N679" s="127" t="s">
        <v>17</v>
      </c>
      <c r="O679" s="235"/>
      <c r="P679" s="90">
        <f t="shared" si="52"/>
        <v>2</v>
      </c>
      <c r="Q679" s="382" t="s">
        <v>1702</v>
      </c>
      <c r="R679" s="566"/>
      <c r="S679" s="277">
        <v>43710</v>
      </c>
      <c r="T679" s="159"/>
      <c r="U679" s="160"/>
      <c r="V679" s="512"/>
      <c r="W679" s="160"/>
      <c r="X679" s="163"/>
      <c r="Y679" s="163"/>
      <c r="Z679" s="164"/>
      <c r="AA679" s="165"/>
      <c r="AB679" s="166"/>
      <c r="AC679" s="167"/>
    </row>
    <row r="680" spans="1:29" s="53" customFormat="1" ht="20.25" customHeight="1">
      <c r="A680" s="359" t="s">
        <v>66</v>
      </c>
      <c r="B680" s="137"/>
      <c r="C680" s="176"/>
      <c r="D680" s="133" t="s">
        <v>1099</v>
      </c>
      <c r="E680" s="124" t="s">
        <v>1518</v>
      </c>
      <c r="F680" s="320">
        <v>43382</v>
      </c>
      <c r="G680" s="625"/>
      <c r="H680" s="626"/>
      <c r="I680" s="624"/>
      <c r="J680" s="508" t="s">
        <v>1519</v>
      </c>
      <c r="K680" s="125" t="s">
        <v>1520</v>
      </c>
      <c r="L680" s="133" t="s">
        <v>1521</v>
      </c>
      <c r="M680" s="370">
        <v>4</v>
      </c>
      <c r="N680" s="135" t="s">
        <v>14</v>
      </c>
      <c r="O680" s="235"/>
      <c r="P680" s="90">
        <f t="shared" si="52"/>
        <v>4</v>
      </c>
      <c r="Q680" s="283" t="s">
        <v>1688</v>
      </c>
      <c r="R680" s="270"/>
      <c r="S680" s="277">
        <v>43438</v>
      </c>
      <c r="T680" s="197"/>
      <c r="U680" s="203"/>
      <c r="V680" s="206"/>
      <c r="W680" s="205"/>
      <c r="X680" s="198"/>
      <c r="Y680" s="198"/>
      <c r="Z680" s="199"/>
      <c r="AA680" s="200"/>
      <c r="AB680" s="191"/>
      <c r="AC680" s="192"/>
    </row>
    <row r="681" spans="1:29" ht="19.5" customHeight="1">
      <c r="A681" s="359" t="s">
        <v>28</v>
      </c>
      <c r="D681" s="15" t="s">
        <v>745</v>
      </c>
      <c r="E681" s="149" t="s">
        <v>406</v>
      </c>
      <c r="F681" s="321">
        <v>43305</v>
      </c>
      <c r="G681" s="625"/>
      <c r="H681" s="626"/>
      <c r="I681" s="624"/>
      <c r="J681" s="515" t="s">
        <v>104</v>
      </c>
      <c r="K681" s="285" t="s">
        <v>67</v>
      </c>
      <c r="L681" s="290" t="s">
        <v>1404</v>
      </c>
      <c r="M681" s="370">
        <v>1</v>
      </c>
      <c r="N681" s="150" t="s">
        <v>17</v>
      </c>
      <c r="O681" s="235"/>
      <c r="P681" s="90">
        <f t="shared" si="52"/>
        <v>1</v>
      </c>
      <c r="Q681" s="272"/>
      <c r="R681" s="544"/>
      <c r="S681" s="383" t="s">
        <v>168</v>
      </c>
      <c r="T681" s="72"/>
      <c r="U681" s="81"/>
      <c r="V681" s="82"/>
      <c r="W681" s="81"/>
      <c r="X681" s="60"/>
      <c r="Y681" s="60"/>
      <c r="Z681" s="83"/>
      <c r="AA681" s="62"/>
      <c r="AB681" s="115"/>
      <c r="AC681" s="117"/>
    </row>
    <row r="682" spans="1:29" ht="20.25" customHeight="1">
      <c r="A682" s="359" t="s">
        <v>20</v>
      </c>
      <c r="C682" t="str">
        <f>K$2</f>
        <v>10/08/2019</v>
      </c>
      <c r="D682" s="249" t="s">
        <v>858</v>
      </c>
      <c r="E682" s="124" t="s">
        <v>1726</v>
      </c>
      <c r="F682" s="378">
        <v>43251</v>
      </c>
      <c r="G682" s="627"/>
      <c r="H682" s="627"/>
      <c r="I682" s="628"/>
      <c r="J682" s="508" t="s">
        <v>1347</v>
      </c>
      <c r="K682" s="379" t="s">
        <v>831</v>
      </c>
      <c r="L682" s="125" t="s">
        <v>86</v>
      </c>
      <c r="M682" s="380">
        <v>1</v>
      </c>
      <c r="N682" s="127" t="s">
        <v>17</v>
      </c>
      <c r="O682" s="235"/>
      <c r="P682" s="90">
        <f t="shared" si="52"/>
        <v>1</v>
      </c>
      <c r="Q682" s="382" t="s">
        <v>1683</v>
      </c>
      <c r="R682" s="283"/>
      <c r="S682" s="383">
        <v>43567</v>
      </c>
      <c r="T682" s="27"/>
      <c r="U682" s="81"/>
      <c r="V682" s="82"/>
      <c r="W682" s="81"/>
      <c r="X682" s="63"/>
      <c r="Y682" s="139"/>
      <c r="Z682" s="131"/>
      <c r="AA682" s="140"/>
      <c r="AB682" s="141"/>
      <c r="AC682" s="141"/>
    </row>
    <row r="683" spans="1:29" s="1" customFormat="1" ht="20.25" customHeight="1">
      <c r="A683" s="359" t="s">
        <v>28</v>
      </c>
      <c r="B683"/>
      <c r="C683" s="84"/>
      <c r="D683" s="169" t="s">
        <v>748</v>
      </c>
      <c r="E683" s="233" t="s">
        <v>1398</v>
      </c>
      <c r="F683" s="319"/>
      <c r="G683" s="627"/>
      <c r="H683" s="631"/>
      <c r="I683" s="624"/>
      <c r="J683" s="519" t="s">
        <v>1396</v>
      </c>
      <c r="K683" s="234" t="s">
        <v>1397</v>
      </c>
      <c r="L683" s="3" t="s">
        <v>1399</v>
      </c>
      <c r="M683" s="369">
        <v>48</v>
      </c>
      <c r="N683" s="259" t="s">
        <v>1352</v>
      </c>
      <c r="O683" s="235"/>
      <c r="P683" s="90">
        <f t="shared" si="52"/>
        <v>48</v>
      </c>
      <c r="Q683" s="328" t="s">
        <v>1656</v>
      </c>
      <c r="R683" s="283"/>
      <c r="S683" s="288" t="s">
        <v>168</v>
      </c>
      <c r="T683" s="27"/>
      <c r="U683" s="8"/>
      <c r="V683" s="121"/>
      <c r="W683" s="8"/>
      <c r="X683" s="63"/>
      <c r="Y683" s="63"/>
      <c r="Z683" s="64"/>
      <c r="AA683" s="65"/>
      <c r="AB683"/>
      <c r="AC683"/>
    </row>
    <row r="684" spans="1:29" ht="20.25">
      <c r="A684" s="359" t="s">
        <v>66</v>
      </c>
      <c r="B684" s="186"/>
      <c r="C684" s="188"/>
      <c r="D684" s="249" t="s">
        <v>1592</v>
      </c>
      <c r="E684" s="124" t="s">
        <v>1504</v>
      </c>
      <c r="F684" s="378">
        <v>43364</v>
      </c>
      <c r="G684" s="627"/>
      <c r="H684" s="627"/>
      <c r="I684" s="628"/>
      <c r="J684" s="508" t="s">
        <v>1503</v>
      </c>
      <c r="K684" s="379" t="s">
        <v>350</v>
      </c>
      <c r="L684" s="125" t="s">
        <v>348</v>
      </c>
      <c r="M684" s="380">
        <v>3</v>
      </c>
      <c r="N684" s="127" t="s">
        <v>17</v>
      </c>
      <c r="O684" s="235"/>
      <c r="P684" s="381">
        <f t="shared" si="52"/>
        <v>3</v>
      </c>
      <c r="Q684" s="382" t="s">
        <v>1608</v>
      </c>
      <c r="R684" s="579"/>
      <c r="S684" s="383">
        <v>43678</v>
      </c>
      <c r="T684" s="27"/>
      <c r="U684" s="81"/>
      <c r="V684" s="82"/>
      <c r="W684" s="81"/>
      <c r="X684" s="63"/>
      <c r="Y684" s="139"/>
      <c r="Z684" s="131"/>
      <c r="AA684" s="140"/>
      <c r="AB684" s="141"/>
      <c r="AC684" s="141"/>
    </row>
    <row r="685" spans="1:29" s="168" customFormat="1" ht="18.75" customHeight="1">
      <c r="A685" s="359" t="s">
        <v>20</v>
      </c>
      <c r="B685" s="157"/>
      <c r="C685" s="158"/>
      <c r="D685" s="15" t="s">
        <v>837</v>
      </c>
      <c r="E685" s="124" t="s">
        <v>93</v>
      </c>
      <c r="F685" s="320">
        <v>43413</v>
      </c>
      <c r="G685" s="625"/>
      <c r="H685" s="626"/>
      <c r="I685" s="624"/>
      <c r="J685" s="506" t="s">
        <v>90</v>
      </c>
      <c r="K685" s="125" t="s">
        <v>91</v>
      </c>
      <c r="L685" s="133" t="s">
        <v>1571</v>
      </c>
      <c r="M685" s="370">
        <v>2</v>
      </c>
      <c r="N685" s="127" t="s">
        <v>17</v>
      </c>
      <c r="O685" s="370"/>
      <c r="P685" s="90">
        <f t="shared" si="52"/>
        <v>2</v>
      </c>
      <c r="Q685" s="554" t="s">
        <v>1606</v>
      </c>
      <c r="R685" s="283"/>
      <c r="S685" s="277">
        <v>43726</v>
      </c>
      <c r="T685" s="159"/>
      <c r="U685" s="160"/>
      <c r="V685" s="161"/>
      <c r="W685" s="162"/>
      <c r="X685" s="163"/>
      <c r="Y685" s="163"/>
      <c r="Z685" s="164"/>
      <c r="AA685" s="165"/>
      <c r="AB685" s="166"/>
      <c r="AC685" s="167"/>
    </row>
    <row r="686" spans="1:29" s="168" customFormat="1" ht="18.75" customHeight="1">
      <c r="A686" s="359" t="s">
        <v>71</v>
      </c>
      <c r="B686" s="157"/>
      <c r="C686" s="158"/>
      <c r="D686" s="15" t="s">
        <v>871</v>
      </c>
      <c r="E686" s="124" t="s">
        <v>169</v>
      </c>
      <c r="F686" s="320">
        <v>43412</v>
      </c>
      <c r="G686" s="625"/>
      <c r="H686" s="626"/>
      <c r="I686" s="624"/>
      <c r="J686" s="506" t="s">
        <v>1568</v>
      </c>
      <c r="K686" s="125" t="s">
        <v>1406</v>
      </c>
      <c r="L686" s="133" t="s">
        <v>7</v>
      </c>
      <c r="M686" s="370">
        <v>6</v>
      </c>
      <c r="N686" s="127" t="s">
        <v>17</v>
      </c>
      <c r="O686" s="235"/>
      <c r="P686" s="90">
        <f t="shared" si="52"/>
        <v>6</v>
      </c>
      <c r="Q686" s="283" t="s">
        <v>1576</v>
      </c>
      <c r="R686" s="498"/>
      <c r="S686" s="277">
        <v>43732</v>
      </c>
      <c r="T686" s="159"/>
      <c r="U686" s="160"/>
      <c r="V686" s="161"/>
      <c r="W686" s="162"/>
      <c r="X686" s="163"/>
      <c r="Y686" s="163"/>
      <c r="Z686" s="164"/>
      <c r="AA686" s="165"/>
      <c r="AB686" s="166"/>
      <c r="AC686" s="167"/>
    </row>
    <row r="687" spans="1:29" s="53" customFormat="1" ht="20.25" customHeight="1">
      <c r="A687" s="359" t="s">
        <v>66</v>
      </c>
      <c r="B687" s="137"/>
      <c r="C687" s="176"/>
      <c r="D687" s="133" t="s">
        <v>973</v>
      </c>
      <c r="E687" s="124" t="s">
        <v>1518</v>
      </c>
      <c r="F687" s="320">
        <v>43382</v>
      </c>
      <c r="G687" s="625"/>
      <c r="H687" s="626"/>
      <c r="I687" s="624"/>
      <c r="J687" s="508" t="s">
        <v>1519</v>
      </c>
      <c r="K687" s="125" t="s">
        <v>1520</v>
      </c>
      <c r="L687" s="133" t="s">
        <v>1521</v>
      </c>
      <c r="M687" s="370">
        <v>2</v>
      </c>
      <c r="N687" s="135" t="s">
        <v>14</v>
      </c>
      <c r="O687" s="235"/>
      <c r="P687" s="90">
        <f t="shared" si="52"/>
        <v>2</v>
      </c>
      <c r="Q687" s="554" t="s">
        <v>1593</v>
      </c>
      <c r="R687" s="272"/>
      <c r="S687" s="277">
        <v>43438</v>
      </c>
      <c r="T687" s="197"/>
      <c r="U687" s="203"/>
      <c r="V687" s="206"/>
      <c r="W687" s="205"/>
      <c r="X687" s="198"/>
      <c r="Y687" s="198"/>
      <c r="Z687" s="199"/>
      <c r="AA687" s="200"/>
      <c r="AB687" s="191"/>
      <c r="AC687" s="192"/>
    </row>
    <row r="688" spans="1:29" ht="20.25" customHeight="1">
      <c r="A688" s="377" t="s">
        <v>1939</v>
      </c>
      <c r="B688" s="186"/>
      <c r="C688" s="188"/>
      <c r="D688" s="249" t="s">
        <v>705</v>
      </c>
      <c r="E688" s="124" t="s">
        <v>1439</v>
      </c>
      <c r="F688" s="378">
        <v>43333</v>
      </c>
      <c r="G688" s="627"/>
      <c r="H688" s="631"/>
      <c r="I688" s="632"/>
      <c r="J688" s="508" t="s">
        <v>1466</v>
      </c>
      <c r="K688" s="379" t="s">
        <v>1467</v>
      </c>
      <c r="L688" s="125" t="s">
        <v>599</v>
      </c>
      <c r="M688" s="514">
        <v>0.5</v>
      </c>
      <c r="N688" s="135" t="s">
        <v>18</v>
      </c>
      <c r="O688" s="126"/>
      <c r="P688" s="90">
        <f t="shared" si="52"/>
        <v>0.5</v>
      </c>
      <c r="Q688" s="382"/>
      <c r="R688" s="499"/>
      <c r="S688" s="553" t="s">
        <v>1558</v>
      </c>
      <c r="T688" s="27"/>
      <c r="U688" s="81"/>
      <c r="V688" s="82"/>
      <c r="W688" s="81"/>
      <c r="X688" s="63"/>
      <c r="Y688" s="139"/>
      <c r="Z688" s="131"/>
      <c r="AA688" s="140"/>
      <c r="AB688" s="141"/>
      <c r="AC688" s="141"/>
    </row>
    <row r="689" spans="1:30" ht="20.25" customHeight="1">
      <c r="A689" s="377" t="s">
        <v>20</v>
      </c>
      <c r="B689" s="186"/>
      <c r="C689" s="188"/>
      <c r="D689" s="249" t="s">
        <v>967</v>
      </c>
      <c r="E689" s="124" t="s">
        <v>93</v>
      </c>
      <c r="F689" s="378">
        <v>43333</v>
      </c>
      <c r="G689" s="627"/>
      <c r="H689" s="631"/>
      <c r="I689" s="632"/>
      <c r="J689" s="508" t="s">
        <v>90</v>
      </c>
      <c r="K689" s="379" t="s">
        <v>91</v>
      </c>
      <c r="L689" s="125" t="s">
        <v>92</v>
      </c>
      <c r="M689" s="514">
        <v>1.25</v>
      </c>
      <c r="N689" s="135" t="s">
        <v>18</v>
      </c>
      <c r="O689" s="514"/>
      <c r="P689" s="90">
        <f t="shared" si="52"/>
        <v>1.25</v>
      </c>
      <c r="Q689" s="554" t="s">
        <v>1564</v>
      </c>
      <c r="R689" s="499"/>
      <c r="S689" s="553" t="s">
        <v>1558</v>
      </c>
      <c r="T689" s="27"/>
      <c r="U689" s="81"/>
      <c r="V689" s="82"/>
      <c r="W689" s="81"/>
      <c r="X689" s="63"/>
      <c r="Y689" s="139"/>
      <c r="Z689" s="131"/>
      <c r="AA689" s="140"/>
      <c r="AB689" s="141"/>
      <c r="AC689" s="141"/>
    </row>
    <row r="690" spans="1:30" ht="20.25" customHeight="1">
      <c r="A690" s="377" t="s">
        <v>20</v>
      </c>
      <c r="B690" s="186"/>
      <c r="C690" s="188"/>
      <c r="D690" s="249" t="s">
        <v>837</v>
      </c>
      <c r="E690" s="124" t="s">
        <v>1438</v>
      </c>
      <c r="F690" s="378">
        <v>43333</v>
      </c>
      <c r="G690" s="627"/>
      <c r="H690" s="631"/>
      <c r="I690" s="632"/>
      <c r="J690" s="508" t="s">
        <v>1464</v>
      </c>
      <c r="K690" s="379" t="s">
        <v>1465</v>
      </c>
      <c r="L690" s="125" t="s">
        <v>598</v>
      </c>
      <c r="M690" s="514">
        <v>2.9</v>
      </c>
      <c r="N690" s="127" t="s">
        <v>17</v>
      </c>
      <c r="O690" s="126"/>
      <c r="P690" s="90">
        <f t="shared" si="52"/>
        <v>2.9</v>
      </c>
      <c r="Q690" s="554" t="s">
        <v>1564</v>
      </c>
      <c r="R690" s="499"/>
      <c r="S690" s="553" t="s">
        <v>1558</v>
      </c>
      <c r="T690" s="27"/>
      <c r="U690" s="81"/>
      <c r="V690" s="82"/>
      <c r="W690" s="81"/>
      <c r="X690" s="63"/>
      <c r="Y690" s="139"/>
      <c r="Z690" s="131"/>
      <c r="AA690" s="140"/>
      <c r="AB690" s="141"/>
      <c r="AC690" s="141"/>
    </row>
    <row r="691" spans="1:30" ht="20.25" customHeight="1">
      <c r="A691" s="377" t="s">
        <v>20</v>
      </c>
      <c r="B691" s="186"/>
      <c r="C691" s="188"/>
      <c r="D691" s="169" t="s">
        <v>503</v>
      </c>
      <c r="E691" s="124" t="s">
        <v>522</v>
      </c>
      <c r="F691" s="378">
        <v>43263</v>
      </c>
      <c r="G691" s="627"/>
      <c r="H691" s="627"/>
      <c r="I691" s="624"/>
      <c r="J691" s="508" t="s">
        <v>1357</v>
      </c>
      <c r="K691" s="379" t="s">
        <v>1006</v>
      </c>
      <c r="L691" s="125" t="s">
        <v>523</v>
      </c>
      <c r="M691" s="380">
        <v>8</v>
      </c>
      <c r="N691" s="236" t="s">
        <v>17</v>
      </c>
      <c r="O691" s="126"/>
      <c r="P691" s="552">
        <f t="shared" si="52"/>
        <v>8</v>
      </c>
      <c r="Q691" s="556" t="s">
        <v>1557</v>
      </c>
      <c r="R691" s="498"/>
      <c r="S691" s="383">
        <v>43938</v>
      </c>
      <c r="T691" s="27"/>
      <c r="U691" s="81"/>
      <c r="V691" s="738"/>
      <c r="W691" s="744"/>
      <c r="X691" s="63"/>
      <c r="Y691" s="139"/>
      <c r="Z691" s="131">
        <v>1370</v>
      </c>
      <c r="AA691" s="140"/>
      <c r="AB691" s="141"/>
      <c r="AC691" s="141"/>
    </row>
    <row r="692" spans="1:30" s="141" customFormat="1" ht="20.25" customHeight="1">
      <c r="A692" s="377" t="s">
        <v>28</v>
      </c>
      <c r="C692" s="176"/>
      <c r="D692" s="15" t="s">
        <v>569</v>
      </c>
      <c r="E692" s="233" t="s">
        <v>1492</v>
      </c>
      <c r="F692" s="319">
        <v>43362</v>
      </c>
      <c r="G692" s="629"/>
      <c r="H692" s="629"/>
      <c r="I692" s="628"/>
      <c r="J692" s="530" t="s">
        <v>1493</v>
      </c>
      <c r="K692" s="255" t="s">
        <v>1494</v>
      </c>
      <c r="L692" s="3" t="s">
        <v>1495</v>
      </c>
      <c r="M692" s="369">
        <v>1</v>
      </c>
      <c r="N692" s="236" t="s">
        <v>17</v>
      </c>
      <c r="O692" s="235"/>
      <c r="P692" s="90">
        <f t="shared" si="52"/>
        <v>1</v>
      </c>
      <c r="Q692" s="556" t="s">
        <v>1536</v>
      </c>
      <c r="R692" s="498"/>
      <c r="S692" s="288">
        <v>43943</v>
      </c>
      <c r="T692"/>
      <c r="U692"/>
      <c r="V692"/>
      <c r="W692"/>
      <c r="X692" s="256"/>
      <c r="Y692" s="63"/>
      <c r="Z692" s="257"/>
      <c r="AA692" s="65"/>
      <c r="AB692"/>
      <c r="AC692"/>
    </row>
    <row r="693" spans="1:30" s="168" customFormat="1" ht="18.75" customHeight="1">
      <c r="A693" s="359" t="s">
        <v>66</v>
      </c>
      <c r="B693" s="157"/>
      <c r="C693" s="158"/>
      <c r="D693" s="249" t="s">
        <v>1370</v>
      </c>
      <c r="E693" s="124" t="s">
        <v>1359</v>
      </c>
      <c r="F693" s="320">
        <v>43271</v>
      </c>
      <c r="G693" s="625"/>
      <c r="H693" s="626"/>
      <c r="I693" s="624"/>
      <c r="J693" s="506" t="s">
        <v>1360</v>
      </c>
      <c r="K693" s="125" t="s">
        <v>992</v>
      </c>
      <c r="L693" s="133" t="s">
        <v>1361</v>
      </c>
      <c r="M693" s="370">
        <v>3</v>
      </c>
      <c r="N693" s="127" t="s">
        <v>17</v>
      </c>
      <c r="O693" s="235"/>
      <c r="P693" s="549">
        <f t="shared" si="52"/>
        <v>3</v>
      </c>
      <c r="Q693" s="555" t="s">
        <v>1532</v>
      </c>
      <c r="R693" s="498"/>
      <c r="S693" s="277">
        <v>43602</v>
      </c>
      <c r="T693" s="159"/>
      <c r="U693" s="160"/>
      <c r="V693" s="161"/>
      <c r="W693" s="162"/>
      <c r="X693" s="163"/>
      <c r="Y693" s="163">
        <v>24.73</v>
      </c>
      <c r="Z693" s="164"/>
      <c r="AA693" s="165"/>
      <c r="AB693" s="166"/>
      <c r="AC693" s="167"/>
    </row>
    <row r="694" spans="1:30" s="141" customFormat="1" ht="20.25" customHeight="1">
      <c r="A694" s="377" t="s">
        <v>20</v>
      </c>
      <c r="C694" s="122"/>
      <c r="D694" s="51" t="s">
        <v>587</v>
      </c>
      <c r="E694" s="536"/>
      <c r="F694" s="538">
        <v>43217</v>
      </c>
      <c r="G694" s="627"/>
      <c r="H694" s="627"/>
      <c r="I694" s="628"/>
      <c r="J694" s="539" t="s">
        <v>1309</v>
      </c>
      <c r="K694" s="540" t="s">
        <v>1310</v>
      </c>
      <c r="L694" s="541"/>
      <c r="M694" s="542">
        <v>7</v>
      </c>
      <c r="N694" s="547" t="s">
        <v>9</v>
      </c>
      <c r="O694" s="537"/>
      <c r="P694" s="548">
        <f t="shared" si="52"/>
        <v>7</v>
      </c>
      <c r="Q694" s="557" t="s">
        <v>1486</v>
      </c>
      <c r="R694" s="498"/>
      <c r="S694" s="383"/>
      <c r="T694" s="136"/>
      <c r="U694" s="152"/>
      <c r="V694" s="174"/>
      <c r="W694" s="152"/>
      <c r="X694" s="139"/>
      <c r="Y694" s="139"/>
      <c r="Z694" s="131"/>
      <c r="AA694" s="140"/>
    </row>
    <row r="695" spans="1:30" s="141" customFormat="1" ht="20.25" customHeight="1">
      <c r="A695" s="377" t="s">
        <v>28</v>
      </c>
      <c r="C695" s="122" t="str">
        <f>K$2</f>
        <v>10/08/2019</v>
      </c>
      <c r="D695" s="51" t="s">
        <v>587</v>
      </c>
      <c r="E695" s="536"/>
      <c r="F695" s="538">
        <v>43217</v>
      </c>
      <c r="G695" s="627"/>
      <c r="H695" s="627"/>
      <c r="I695" s="628"/>
      <c r="J695" s="539" t="s">
        <v>1309</v>
      </c>
      <c r="K695" s="540" t="s">
        <v>1310</v>
      </c>
      <c r="L695" s="541"/>
      <c r="M695" s="542">
        <v>5</v>
      </c>
      <c r="N695" s="547" t="s">
        <v>9</v>
      </c>
      <c r="O695" s="537"/>
      <c r="P695" s="548">
        <f t="shared" si="52"/>
        <v>5</v>
      </c>
      <c r="Q695" s="557" t="s">
        <v>1486</v>
      </c>
      <c r="R695" s="498"/>
      <c r="S695" s="383"/>
      <c r="T695" s="136"/>
      <c r="U695" s="152"/>
      <c r="V695" s="174"/>
      <c r="W695" s="152"/>
      <c r="X695" s="139"/>
      <c r="Y695" s="139"/>
      <c r="Z695" s="131"/>
      <c r="AA695" s="140"/>
    </row>
    <row r="696" spans="1:30" ht="19.5" customHeight="1">
      <c r="A696" s="359" t="s">
        <v>28</v>
      </c>
      <c r="C696" t="str">
        <f>K$2</f>
        <v>10/08/2019</v>
      </c>
      <c r="D696" s="169" t="s">
        <v>593</v>
      </c>
      <c r="E696" s="233" t="s">
        <v>431</v>
      </c>
      <c r="F696" s="319">
        <v>43185</v>
      </c>
      <c r="G696" s="627"/>
      <c r="H696" s="631"/>
      <c r="I696" s="624"/>
      <c r="J696" s="519" t="s">
        <v>167</v>
      </c>
      <c r="K696" s="234" t="s">
        <v>230</v>
      </c>
      <c r="L696" s="3" t="s">
        <v>229</v>
      </c>
      <c r="M696" s="368">
        <v>50</v>
      </c>
      <c r="N696" s="127" t="s">
        <v>740</v>
      </c>
      <c r="O696" s="235"/>
      <c r="P696" s="90">
        <f t="shared" si="52"/>
        <v>50</v>
      </c>
      <c r="Q696" s="557" t="s">
        <v>1485</v>
      </c>
      <c r="R696" s="544"/>
      <c r="S696" s="288"/>
      <c r="T696" s="136"/>
      <c r="U696" s="137"/>
      <c r="V696" s="138"/>
      <c r="W696" s="137"/>
      <c r="X696" s="139"/>
      <c r="Y696" s="139"/>
      <c r="Z696" s="131"/>
      <c r="AA696" s="140"/>
      <c r="AB696" s="142"/>
      <c r="AC696" s="141"/>
    </row>
    <row r="697" spans="1:30" s="53" customFormat="1" ht="20.25" customHeight="1">
      <c r="A697" s="359" t="s">
        <v>52</v>
      </c>
      <c r="C697" s="84"/>
      <c r="D697" s="169" t="s">
        <v>652</v>
      </c>
      <c r="E697" s="124" t="s">
        <v>584</v>
      </c>
      <c r="F697" s="319">
        <v>42772</v>
      </c>
      <c r="G697" s="627"/>
      <c r="H697" s="631"/>
      <c r="I697" s="624"/>
      <c r="J697" s="506" t="s">
        <v>585</v>
      </c>
      <c r="K697" s="125" t="s">
        <v>586</v>
      </c>
      <c r="L697" s="133" t="s">
        <v>1215</v>
      </c>
      <c r="M697" s="369">
        <v>1</v>
      </c>
      <c r="N697" s="236" t="s">
        <v>17</v>
      </c>
      <c r="O697" s="235"/>
      <c r="P697" s="90">
        <f t="shared" si="52"/>
        <v>1</v>
      </c>
      <c r="Q697" s="555" t="s">
        <v>1475</v>
      </c>
      <c r="R697" s="498"/>
      <c r="S697" s="288"/>
      <c r="T697" s="27"/>
      <c r="U697" s="8"/>
      <c r="V697" s="121"/>
      <c r="W697" s="8"/>
      <c r="X697" s="63"/>
      <c r="Y697" s="63">
        <v>34</v>
      </c>
      <c r="Z697" s="64"/>
      <c r="AA697" s="65"/>
      <c r="AB697"/>
      <c r="AC697"/>
    </row>
    <row r="698" spans="1:30" ht="19.5" customHeight="1">
      <c r="A698" s="359" t="s">
        <v>66</v>
      </c>
      <c r="D698" s="169" t="s">
        <v>333</v>
      </c>
      <c r="E698" s="124" t="s">
        <v>655</v>
      </c>
      <c r="F698" s="323"/>
      <c r="G698" s="627"/>
      <c r="H698" s="631"/>
      <c r="I698" s="624"/>
      <c r="J698" s="521" t="s">
        <v>945</v>
      </c>
      <c r="K698" s="125" t="s">
        <v>932</v>
      </c>
      <c r="L698" s="133" t="s">
        <v>739</v>
      </c>
      <c r="M698" s="368">
        <v>1</v>
      </c>
      <c r="N698" s="127" t="s">
        <v>17</v>
      </c>
      <c r="O698" s="126"/>
      <c r="P698" s="90">
        <f t="shared" si="52"/>
        <v>1</v>
      </c>
      <c r="Q698" s="555" t="s">
        <v>1475</v>
      </c>
      <c r="R698" s="498"/>
      <c r="S698" s="276">
        <v>43186</v>
      </c>
      <c r="T698" s="136"/>
      <c r="U698" s="137"/>
      <c r="V698" s="138"/>
      <c r="W698" s="137"/>
      <c r="X698" s="139"/>
      <c r="Y698" s="139"/>
      <c r="Z698" s="131"/>
      <c r="AA698" s="140">
        <v>850</v>
      </c>
      <c r="AB698" s="142"/>
      <c r="AC698" s="132"/>
    </row>
    <row r="699" spans="1:30" s="53" customFormat="1" ht="20.25" customHeight="1">
      <c r="A699" s="359" t="s">
        <v>20</v>
      </c>
      <c r="B699" s="137"/>
      <c r="C699" s="176"/>
      <c r="D699" s="133" t="s">
        <v>838</v>
      </c>
      <c r="E699" s="124" t="s">
        <v>93</v>
      </c>
      <c r="F699" s="320">
        <v>43291</v>
      </c>
      <c r="G699" s="625"/>
      <c r="H699" s="626"/>
      <c r="I699" s="624"/>
      <c r="J699" s="125" t="s">
        <v>90</v>
      </c>
      <c r="K699" s="125" t="s">
        <v>91</v>
      </c>
      <c r="L699" s="133" t="s">
        <v>92</v>
      </c>
      <c r="M699" s="370">
        <v>3</v>
      </c>
      <c r="N699" s="135" t="s">
        <v>17</v>
      </c>
      <c r="O699" s="235"/>
      <c r="P699" s="90">
        <f t="shared" si="52"/>
        <v>3</v>
      </c>
      <c r="Q699" s="556" t="s">
        <v>1474</v>
      </c>
      <c r="R699" s="498"/>
      <c r="S699" s="277">
        <v>43613</v>
      </c>
      <c r="T699" s="197"/>
      <c r="U699" s="203"/>
      <c r="V699" s="206"/>
      <c r="W699" s="205"/>
      <c r="X699" s="198"/>
      <c r="Y699" s="198"/>
      <c r="Z699" s="199"/>
      <c r="AA699" s="200"/>
      <c r="AB699" s="191"/>
      <c r="AC699" s="192"/>
    </row>
    <row r="700" spans="1:30" s="91" customFormat="1" ht="20.25" customHeight="1">
      <c r="A700" s="359" t="s">
        <v>66</v>
      </c>
      <c r="B700" s="156"/>
      <c r="C700" s="122"/>
      <c r="D700" s="169" t="s">
        <v>568</v>
      </c>
      <c r="E700" s="124" t="s">
        <v>655</v>
      </c>
      <c r="F700" s="320">
        <v>43297</v>
      </c>
      <c r="G700" s="627"/>
      <c r="H700" s="631"/>
      <c r="I700" s="624"/>
      <c r="J700" s="525" t="s">
        <v>945</v>
      </c>
      <c r="K700" s="125" t="s">
        <v>946</v>
      </c>
      <c r="L700" s="133" t="s">
        <v>739</v>
      </c>
      <c r="M700" s="369">
        <v>2</v>
      </c>
      <c r="N700" s="236" t="s">
        <v>17</v>
      </c>
      <c r="O700" s="235"/>
      <c r="P700" s="90">
        <f t="shared" si="52"/>
        <v>2</v>
      </c>
      <c r="Q700" s="556" t="s">
        <v>1472</v>
      </c>
      <c r="R700" s="498"/>
      <c r="S700" s="276">
        <v>43247</v>
      </c>
      <c r="T700" s="27"/>
      <c r="U700" s="8"/>
      <c r="V700" s="121"/>
      <c r="W700" s="8"/>
      <c r="X700" s="63"/>
      <c r="Y700" s="63"/>
      <c r="Z700" s="64"/>
      <c r="AA700" s="65">
        <v>850</v>
      </c>
      <c r="AB700"/>
      <c r="AC700"/>
    </row>
    <row r="701" spans="1:30" s="168" customFormat="1" ht="18.75" customHeight="1">
      <c r="A701" s="359" t="s">
        <v>28</v>
      </c>
      <c r="B701" s="157"/>
      <c r="C701" s="158"/>
      <c r="D701" s="15" t="s">
        <v>570</v>
      </c>
      <c r="E701" s="124" t="s">
        <v>1315</v>
      </c>
      <c r="F701" s="320">
        <v>43082</v>
      </c>
      <c r="G701" s="625"/>
      <c r="H701" s="626"/>
      <c r="I701" s="624"/>
      <c r="J701" s="506" t="s">
        <v>1314</v>
      </c>
      <c r="K701" s="125" t="s">
        <v>952</v>
      </c>
      <c r="L701" s="133" t="s">
        <v>1316</v>
      </c>
      <c r="M701" s="370">
        <v>2</v>
      </c>
      <c r="N701" s="127" t="s">
        <v>17</v>
      </c>
      <c r="O701" s="235"/>
      <c r="P701" s="90">
        <f t="shared" ref="P701:P727" si="53">IF(O701="",M701,M701-O701)</f>
        <v>2</v>
      </c>
      <c r="Q701" s="555" t="s">
        <v>1427</v>
      </c>
      <c r="R701" s="544"/>
      <c r="S701" s="277">
        <v>43571</v>
      </c>
      <c r="T701" s="159"/>
      <c r="U701" s="160"/>
      <c r="V701" s="161"/>
      <c r="W701" s="162"/>
      <c r="X701" s="163">
        <v>39.6</v>
      </c>
      <c r="Y701" s="163"/>
      <c r="Z701" s="164"/>
      <c r="AA701" s="165"/>
      <c r="AB701" s="166"/>
      <c r="AC701" s="167"/>
    </row>
    <row r="702" spans="1:30" ht="20.25" customHeight="1">
      <c r="A702" s="359" t="s">
        <v>20</v>
      </c>
      <c r="B702" s="194"/>
      <c r="C702" s="202" t="str">
        <f>K$2</f>
        <v>10/08/2019</v>
      </c>
      <c r="D702" s="169" t="s">
        <v>1027</v>
      </c>
      <c r="E702" s="233" t="s">
        <v>792</v>
      </c>
      <c r="F702" s="319">
        <v>43124</v>
      </c>
      <c r="G702" s="629"/>
      <c r="H702" s="630"/>
      <c r="I702" s="624"/>
      <c r="J702" s="509" t="s">
        <v>793</v>
      </c>
      <c r="K702" s="255" t="s">
        <v>794</v>
      </c>
      <c r="L702" s="3" t="s">
        <v>598</v>
      </c>
      <c r="M702" s="369">
        <v>6</v>
      </c>
      <c r="N702" s="236" t="s">
        <v>17</v>
      </c>
      <c r="O702" s="235"/>
      <c r="P702" s="90">
        <f t="shared" si="53"/>
        <v>6</v>
      </c>
      <c r="Q702" s="557" t="s">
        <v>1416</v>
      </c>
      <c r="R702" s="498"/>
      <c r="S702" s="276">
        <v>43385</v>
      </c>
      <c r="V702" s="341"/>
      <c r="W702" s="348"/>
      <c r="X702" s="256"/>
      <c r="Y702" s="63"/>
      <c r="Z702" s="257"/>
      <c r="AA702" s="65"/>
      <c r="AB702"/>
      <c r="AC702"/>
      <c r="AD702" s="250"/>
    </row>
    <row r="703" spans="1:30" ht="19.5" customHeight="1">
      <c r="A703" s="377" t="s">
        <v>20</v>
      </c>
      <c r="B703" s="186"/>
      <c r="C703" s="188"/>
      <c r="D703" s="249" t="s">
        <v>427</v>
      </c>
      <c r="E703" s="124" t="s">
        <v>522</v>
      </c>
      <c r="F703" s="378">
        <v>43263</v>
      </c>
      <c r="G703" s="627"/>
      <c r="H703" s="627"/>
      <c r="I703" s="628"/>
      <c r="J703" s="508" t="s">
        <v>1358</v>
      </c>
      <c r="K703" s="379" t="s">
        <v>1006</v>
      </c>
      <c r="L703" s="125" t="s">
        <v>523</v>
      </c>
      <c r="M703" s="380">
        <v>96</v>
      </c>
      <c r="N703" s="236" t="s">
        <v>17</v>
      </c>
      <c r="O703" s="126"/>
      <c r="P703" s="381">
        <f t="shared" si="53"/>
        <v>96</v>
      </c>
      <c r="Q703" s="555" t="s">
        <v>1414</v>
      </c>
      <c r="R703" s="498" t="s">
        <v>1413</v>
      </c>
      <c r="S703" s="383">
        <v>43938</v>
      </c>
      <c r="T703" s="27"/>
      <c r="U703" s="81"/>
      <c r="V703" s="82"/>
      <c r="W703" s="81"/>
      <c r="X703" s="63"/>
      <c r="Y703" s="139"/>
      <c r="Z703" s="131">
        <v>1370</v>
      </c>
      <c r="AA703" s="140"/>
      <c r="AB703" s="141"/>
      <c r="AC703" s="141"/>
    </row>
    <row r="704" spans="1:30" ht="20.25" customHeight="1">
      <c r="A704" s="377" t="s">
        <v>71</v>
      </c>
      <c r="B704" s="186"/>
      <c r="C704" s="188"/>
      <c r="D704" s="249" t="s">
        <v>859</v>
      </c>
      <c r="E704" s="124" t="s">
        <v>169</v>
      </c>
      <c r="F704" s="378">
        <v>43236</v>
      </c>
      <c r="G704" s="627"/>
      <c r="H704" s="627"/>
      <c r="I704" s="628"/>
      <c r="J704" s="508" t="s">
        <v>1331</v>
      </c>
      <c r="K704" s="379" t="s">
        <v>1338</v>
      </c>
      <c r="L704" s="125" t="s">
        <v>7</v>
      </c>
      <c r="M704" s="380">
        <v>2</v>
      </c>
      <c r="N704" s="135" t="s">
        <v>17</v>
      </c>
      <c r="O704" s="126"/>
      <c r="P704" s="90">
        <f t="shared" si="53"/>
        <v>2</v>
      </c>
      <c r="Q704" s="555" t="s">
        <v>1409</v>
      </c>
      <c r="R704" s="499"/>
      <c r="S704" s="383">
        <v>43564</v>
      </c>
      <c r="T704" s="197"/>
      <c r="U704" s="203"/>
      <c r="V704" s="205"/>
      <c r="W704" s="205"/>
      <c r="X704" s="198"/>
      <c r="Y704" s="198"/>
      <c r="Z704" s="199">
        <f>13065/650</f>
        <v>20.100000000000001</v>
      </c>
      <c r="AA704" s="200"/>
      <c r="AB704" s="191"/>
      <c r="AC704" s="192"/>
    </row>
    <row r="705" spans="1:29" ht="20.25" customHeight="1">
      <c r="A705" s="359" t="s">
        <v>28</v>
      </c>
      <c r="B705" s="10"/>
      <c r="C705" s="76" t="str">
        <f>K$2</f>
        <v>10/08/2019</v>
      </c>
      <c r="D705" s="249" t="s">
        <v>458</v>
      </c>
      <c r="E705" s="233" t="s">
        <v>416</v>
      </c>
      <c r="F705" s="319">
        <v>43077</v>
      </c>
      <c r="G705" s="627"/>
      <c r="H705" s="631"/>
      <c r="I705" s="624"/>
      <c r="J705" s="519" t="s">
        <v>407</v>
      </c>
      <c r="K705" s="234" t="s">
        <v>376</v>
      </c>
      <c r="L705" s="3" t="s">
        <v>408</v>
      </c>
      <c r="M705" s="369">
        <v>1</v>
      </c>
      <c r="N705" s="236" t="s">
        <v>17</v>
      </c>
      <c r="O705" s="235"/>
      <c r="P705" s="90">
        <f t="shared" si="53"/>
        <v>1</v>
      </c>
      <c r="Q705" s="557"/>
      <c r="R705" s="524"/>
      <c r="S705" s="288">
        <v>43654</v>
      </c>
      <c r="T705" s="27"/>
      <c r="U705" s="8"/>
      <c r="V705" s="121"/>
      <c r="W705" s="8"/>
      <c r="X705" s="63">
        <v>26.64</v>
      </c>
      <c r="Y705" s="63"/>
      <c r="Z705" s="64"/>
      <c r="AA705" s="65"/>
      <c r="AB705" s="142"/>
      <c r="AC705"/>
    </row>
    <row r="706" spans="1:29" ht="20.25" customHeight="1">
      <c r="A706" s="377" t="s">
        <v>66</v>
      </c>
      <c r="B706" s="186"/>
      <c r="C706" s="188"/>
      <c r="D706" s="15" t="s">
        <v>206</v>
      </c>
      <c r="E706" s="124" t="s">
        <v>140</v>
      </c>
      <c r="F706" s="378">
        <v>43243</v>
      </c>
      <c r="G706" s="627"/>
      <c r="H706" s="627"/>
      <c r="I706" s="628"/>
      <c r="J706" s="508" t="s">
        <v>141</v>
      </c>
      <c r="K706" s="379" t="s">
        <v>1001</v>
      </c>
      <c r="L706" s="125" t="s">
        <v>81</v>
      </c>
      <c r="M706" s="380">
        <v>2</v>
      </c>
      <c r="N706" s="127" t="s">
        <v>17</v>
      </c>
      <c r="O706" s="126"/>
      <c r="P706" s="381">
        <f t="shared" si="53"/>
        <v>2</v>
      </c>
      <c r="Q706" s="557" t="s">
        <v>1382</v>
      </c>
      <c r="R706" s="272"/>
      <c r="S706" s="383">
        <v>43738</v>
      </c>
      <c r="T706" s="27"/>
      <c r="U706" s="81"/>
      <c r="V706" s="738"/>
      <c r="W706" s="744"/>
      <c r="X706" s="63"/>
      <c r="Y706" s="139">
        <v>39.6</v>
      </c>
      <c r="Z706" s="131"/>
      <c r="AA706" s="140"/>
      <c r="AB706" s="141"/>
      <c r="AC706" s="141"/>
    </row>
    <row r="707" spans="1:29" ht="19.5" customHeight="1">
      <c r="A707" s="359" t="s">
        <v>20</v>
      </c>
      <c r="D707" s="123" t="s">
        <v>877</v>
      </c>
      <c r="E707" s="124" t="s">
        <v>54</v>
      </c>
      <c r="F707" s="323">
        <v>42977</v>
      </c>
      <c r="G707" s="627"/>
      <c r="H707" s="631"/>
      <c r="I707" s="624"/>
      <c r="J707" s="506" t="s">
        <v>55</v>
      </c>
      <c r="K707" s="125" t="s">
        <v>56</v>
      </c>
      <c r="L707" s="133" t="s">
        <v>57</v>
      </c>
      <c r="M707" s="368">
        <v>2</v>
      </c>
      <c r="N707" s="127" t="s">
        <v>17</v>
      </c>
      <c r="O707" s="235"/>
      <c r="P707" s="90">
        <f t="shared" si="53"/>
        <v>2</v>
      </c>
      <c r="Q707" s="557" t="s">
        <v>1379</v>
      </c>
      <c r="R707" s="747"/>
      <c r="S707" s="276">
        <v>43271</v>
      </c>
      <c r="T707" s="54"/>
      <c r="U707" s="73"/>
      <c r="V707" s="344"/>
      <c r="W707" s="351"/>
      <c r="X707" s="66"/>
      <c r="Y707" s="66"/>
      <c r="Z707" s="67">
        <v>4400</v>
      </c>
      <c r="AA707" s="68"/>
      <c r="AB707" s="142"/>
      <c r="AC707" s="53"/>
    </row>
    <row r="708" spans="1:29" s="203" customFormat="1" ht="21" customHeight="1">
      <c r="A708" s="359" t="s">
        <v>20</v>
      </c>
      <c r="B708" s="194"/>
      <c r="C708" s="202" t="str">
        <f>K$2</f>
        <v>10/08/2019</v>
      </c>
      <c r="D708" s="169" t="s">
        <v>1027</v>
      </c>
      <c r="E708" s="233" t="s">
        <v>909</v>
      </c>
      <c r="F708" s="319">
        <v>43124</v>
      </c>
      <c r="G708" s="629"/>
      <c r="H708" s="630"/>
      <c r="I708" s="624"/>
      <c r="J708" s="509" t="s">
        <v>910</v>
      </c>
      <c r="K708" s="255" t="s">
        <v>911</v>
      </c>
      <c r="L708" s="3" t="s">
        <v>599</v>
      </c>
      <c r="M708" s="369">
        <v>0.5</v>
      </c>
      <c r="N708" s="236" t="s">
        <v>17</v>
      </c>
      <c r="O708" s="235"/>
      <c r="P708" s="90">
        <f t="shared" si="53"/>
        <v>0.5</v>
      </c>
      <c r="Q708" s="558" t="s">
        <v>1369</v>
      </c>
      <c r="R708" s="498"/>
      <c r="S708" s="276">
        <v>43385</v>
      </c>
      <c r="T708"/>
      <c r="U708"/>
      <c r="V708" s="341"/>
      <c r="W708" s="348"/>
      <c r="X708" s="256"/>
      <c r="Y708" s="63"/>
      <c r="Z708" s="257"/>
      <c r="AA708" s="65"/>
      <c r="AB708"/>
      <c r="AC708"/>
    </row>
    <row r="709" spans="1:29" s="203" customFormat="1" ht="21" customHeight="1">
      <c r="A709" s="359" t="s">
        <v>20</v>
      </c>
      <c r="B709" s="194"/>
      <c r="C709" s="202"/>
      <c r="D709" s="169" t="s">
        <v>842</v>
      </c>
      <c r="E709" s="233" t="s">
        <v>789</v>
      </c>
      <c r="F709" s="319">
        <v>43157</v>
      </c>
      <c r="G709" s="629"/>
      <c r="H709" s="630"/>
      <c r="I709" s="624"/>
      <c r="J709" s="509" t="s">
        <v>790</v>
      </c>
      <c r="K709" s="255" t="s">
        <v>791</v>
      </c>
      <c r="L709" s="3" t="s">
        <v>598</v>
      </c>
      <c r="M709" s="369">
        <v>1</v>
      </c>
      <c r="N709" s="236" t="s">
        <v>17</v>
      </c>
      <c r="O709" s="235"/>
      <c r="P709" s="90">
        <f t="shared" si="53"/>
        <v>1</v>
      </c>
      <c r="Q709" s="558" t="s">
        <v>1369</v>
      </c>
      <c r="R709" s="498"/>
      <c r="S709" s="288">
        <v>43477</v>
      </c>
      <c r="T709"/>
      <c r="U709"/>
      <c r="V709" s="341"/>
      <c r="W709" s="348"/>
      <c r="X709" s="256"/>
      <c r="Y709" s="63"/>
      <c r="Z709" s="257">
        <f>121600/16</f>
        <v>7600</v>
      </c>
      <c r="AA709" s="65"/>
      <c r="AB709"/>
      <c r="AC709"/>
    </row>
    <row r="710" spans="1:29" s="203" customFormat="1" ht="21" customHeight="1">
      <c r="A710" s="359" t="s">
        <v>20</v>
      </c>
      <c r="B710" s="194"/>
      <c r="C710" s="202" t="str">
        <f>K$2</f>
        <v>10/08/2019</v>
      </c>
      <c r="D710" s="169" t="s">
        <v>842</v>
      </c>
      <c r="E710" s="233" t="s">
        <v>635</v>
      </c>
      <c r="F710" s="319">
        <v>43157</v>
      </c>
      <c r="G710" s="629"/>
      <c r="H710" s="630"/>
      <c r="I710" s="624"/>
      <c r="J710" s="509" t="s">
        <v>636</v>
      </c>
      <c r="K710" s="255" t="s">
        <v>637</v>
      </c>
      <c r="L710" s="3" t="s">
        <v>599</v>
      </c>
      <c r="M710" s="369">
        <v>5</v>
      </c>
      <c r="N710" s="236" t="s">
        <v>17</v>
      </c>
      <c r="O710" s="235"/>
      <c r="P710" s="90">
        <f t="shared" si="53"/>
        <v>5</v>
      </c>
      <c r="Q710" s="558" t="s">
        <v>1369</v>
      </c>
      <c r="R710" s="498"/>
      <c r="S710" s="288">
        <v>43477</v>
      </c>
      <c r="T710" s="27"/>
      <c r="U710" s="8"/>
      <c r="V710" s="345"/>
      <c r="W710" s="352"/>
      <c r="X710" s="63"/>
      <c r="Y710" s="63"/>
      <c r="Z710" s="64"/>
      <c r="AA710" s="65"/>
      <c r="AB710"/>
      <c r="AC710"/>
    </row>
    <row r="711" spans="1:29" s="203" customFormat="1" ht="21" customHeight="1">
      <c r="A711" s="359" t="s">
        <v>28</v>
      </c>
      <c r="B711" s="194"/>
      <c r="C711" s="202"/>
      <c r="D711" s="169" t="s">
        <v>839</v>
      </c>
      <c r="E711" s="124" t="s">
        <v>746</v>
      </c>
      <c r="F711" s="320"/>
      <c r="G711" s="627"/>
      <c r="H711" s="631"/>
      <c r="I711" s="624"/>
      <c r="J711" s="522" t="s">
        <v>747</v>
      </c>
      <c r="K711" s="365" t="s">
        <v>711</v>
      </c>
      <c r="L711" s="364" t="s">
        <v>77</v>
      </c>
      <c r="M711" s="369">
        <v>1</v>
      </c>
      <c r="N711" s="236" t="s">
        <v>17</v>
      </c>
      <c r="O711" s="235"/>
      <c r="P711" s="90">
        <f t="shared" si="53"/>
        <v>1</v>
      </c>
      <c r="Q711" s="557" t="s">
        <v>1377</v>
      </c>
      <c r="R711" s="272"/>
      <c r="S711" s="288"/>
      <c r="T711" s="27"/>
      <c r="U711" s="8"/>
      <c r="V711" s="345"/>
      <c r="W711" s="352"/>
      <c r="X711" s="63"/>
      <c r="Y711" s="63"/>
      <c r="Z711" s="64"/>
      <c r="AA711" s="65"/>
      <c r="AB711"/>
      <c r="AC711"/>
    </row>
    <row r="712" spans="1:29" s="203" customFormat="1" ht="21" customHeight="1">
      <c r="A712" s="359" t="s">
        <v>28</v>
      </c>
      <c r="B712" s="194"/>
      <c r="C712" s="202"/>
      <c r="D712" s="169" t="s">
        <v>839</v>
      </c>
      <c r="E712" s="124" t="s">
        <v>746</v>
      </c>
      <c r="F712" s="320">
        <v>42915</v>
      </c>
      <c r="G712" s="627"/>
      <c r="H712" s="631"/>
      <c r="I712" s="624"/>
      <c r="J712" s="522" t="s">
        <v>747</v>
      </c>
      <c r="K712" s="365" t="s">
        <v>711</v>
      </c>
      <c r="L712" s="364" t="s">
        <v>77</v>
      </c>
      <c r="M712" s="369">
        <v>1</v>
      </c>
      <c r="N712" s="236" t="s">
        <v>1368</v>
      </c>
      <c r="O712" s="235"/>
      <c r="P712" s="90">
        <f t="shared" si="53"/>
        <v>1</v>
      </c>
      <c r="Q712" s="557" t="s">
        <v>1377</v>
      </c>
      <c r="R712" s="272"/>
      <c r="S712" s="288"/>
      <c r="T712" s="27"/>
      <c r="U712" s="8"/>
      <c r="V712" s="345"/>
      <c r="W712" s="352"/>
      <c r="X712" s="63"/>
      <c r="Y712" s="63">
        <v>10</v>
      </c>
      <c r="Z712" s="64"/>
      <c r="AA712" s="65"/>
      <c r="AB712"/>
      <c r="AC712"/>
    </row>
    <row r="713" spans="1:29" s="203" customFormat="1" ht="21" customHeight="1">
      <c r="A713" s="359" t="s">
        <v>20</v>
      </c>
      <c r="B713"/>
      <c r="C713"/>
      <c r="D713" s="169" t="s">
        <v>836</v>
      </c>
      <c r="E713" s="124"/>
      <c r="F713" s="320"/>
      <c r="G713" s="627"/>
      <c r="H713" s="631"/>
      <c r="I713" s="624"/>
      <c r="J713" s="506" t="s">
        <v>1033</v>
      </c>
      <c r="K713" s="125"/>
      <c r="L713" s="133"/>
      <c r="M713" s="369">
        <v>0.1</v>
      </c>
      <c r="N713" s="236" t="s">
        <v>1368</v>
      </c>
      <c r="O713" s="235"/>
      <c r="P713" s="90">
        <f t="shared" si="53"/>
        <v>0.1</v>
      </c>
      <c r="Q713" s="558" t="s">
        <v>1369</v>
      </c>
      <c r="R713" s="272"/>
      <c r="S713" s="288"/>
      <c r="T713" s="197"/>
      <c r="V713" s="741"/>
      <c r="W713" s="741"/>
      <c r="X713" s="198"/>
      <c r="Y713" s="198"/>
      <c r="Z713" s="199">
        <f>480000/75</f>
        <v>6400</v>
      </c>
      <c r="AA713" s="200"/>
      <c r="AB713" s="191"/>
      <c r="AC713" s="192"/>
    </row>
    <row r="714" spans="1:29" ht="20.25" customHeight="1">
      <c r="A714" s="359" t="s">
        <v>20</v>
      </c>
      <c r="D714" s="169" t="s">
        <v>967</v>
      </c>
      <c r="E714" s="233" t="s">
        <v>93</v>
      </c>
      <c r="F714" s="319">
        <v>43157</v>
      </c>
      <c r="G714" s="629"/>
      <c r="H714" s="630"/>
      <c r="I714" s="624"/>
      <c r="J714" s="509" t="s">
        <v>1059</v>
      </c>
      <c r="K714" s="255" t="s">
        <v>91</v>
      </c>
      <c r="L714" s="3" t="s">
        <v>599</v>
      </c>
      <c r="M714" s="369">
        <v>2</v>
      </c>
      <c r="N714" s="236" t="s">
        <v>1022</v>
      </c>
      <c r="O714" s="235"/>
      <c r="P714" s="90">
        <f t="shared" si="53"/>
        <v>2</v>
      </c>
      <c r="Q714" s="558" t="s">
        <v>1366</v>
      </c>
      <c r="R714" s="498"/>
      <c r="S714" s="288"/>
      <c r="V714" s="341"/>
      <c r="W714" s="348"/>
      <c r="X714" s="256"/>
      <c r="Y714" s="63"/>
      <c r="Z714" s="257">
        <f>61840/8</f>
        <v>7730</v>
      </c>
      <c r="AA714" s="65"/>
      <c r="AB714"/>
      <c r="AC714"/>
    </row>
    <row r="715" spans="1:29" s="203" customFormat="1" ht="21" customHeight="1">
      <c r="A715" s="359" t="s">
        <v>20</v>
      </c>
      <c r="B715" s="194"/>
      <c r="C715" s="202"/>
      <c r="D715" s="169" t="s">
        <v>967</v>
      </c>
      <c r="E715" s="233" t="s">
        <v>366</v>
      </c>
      <c r="F715" s="319">
        <v>43124</v>
      </c>
      <c r="G715" s="629"/>
      <c r="H715" s="630"/>
      <c r="I715" s="624"/>
      <c r="J715" s="509" t="s">
        <v>367</v>
      </c>
      <c r="K715" s="255" t="s">
        <v>368</v>
      </c>
      <c r="L715" s="3" t="s">
        <v>92</v>
      </c>
      <c r="M715" s="369">
        <v>3</v>
      </c>
      <c r="N715" s="236" t="s">
        <v>1022</v>
      </c>
      <c r="O715" s="235"/>
      <c r="P715" s="90">
        <f t="shared" si="53"/>
        <v>3</v>
      </c>
      <c r="Q715" s="558" t="s">
        <v>1366</v>
      </c>
      <c r="R715" s="498"/>
      <c r="S715" s="288">
        <v>43449</v>
      </c>
      <c r="T715"/>
      <c r="U715"/>
      <c r="V715" s="341"/>
      <c r="W715" s="348"/>
      <c r="X715" s="256"/>
      <c r="Y715" s="63"/>
      <c r="Z715" s="257"/>
      <c r="AA715" s="65"/>
      <c r="AB715"/>
      <c r="AC715"/>
    </row>
    <row r="716" spans="1:29" ht="19.5" customHeight="1">
      <c r="A716" s="359" t="s">
        <v>20</v>
      </c>
      <c r="D716" s="249" t="s">
        <v>534</v>
      </c>
      <c r="E716" s="149" t="s">
        <v>40</v>
      </c>
      <c r="F716" s="321">
        <v>40932</v>
      </c>
      <c r="G716" s="625"/>
      <c r="H716" s="626"/>
      <c r="I716" s="624"/>
      <c r="J716" s="515" t="s">
        <v>771</v>
      </c>
      <c r="K716" s="285" t="s">
        <v>38</v>
      </c>
      <c r="L716" s="290" t="s">
        <v>1214</v>
      </c>
      <c r="M716" s="370">
        <v>8.74</v>
      </c>
      <c r="N716" s="259" t="s">
        <v>1134</v>
      </c>
      <c r="O716" s="370"/>
      <c r="P716" s="90">
        <f t="shared" si="53"/>
        <v>8.74</v>
      </c>
      <c r="Q716" s="558" t="s">
        <v>1369</v>
      </c>
      <c r="R716" s="524" t="s">
        <v>1367</v>
      </c>
      <c r="S716" s="288" t="s">
        <v>168</v>
      </c>
      <c r="T716" s="72"/>
      <c r="U716" s="81"/>
      <c r="V716" s="82"/>
      <c r="W716" s="81"/>
      <c r="X716" s="60"/>
      <c r="Y716" s="60"/>
      <c r="Z716" s="83"/>
      <c r="AA716" s="62"/>
      <c r="AB716" s="142"/>
      <c r="AC716" s="117"/>
    </row>
    <row r="717" spans="1:29" ht="20.25" customHeight="1">
      <c r="A717" s="359" t="s">
        <v>20</v>
      </c>
      <c r="B717" s="53"/>
      <c r="C717" s="84"/>
      <c r="D717" s="249" t="s">
        <v>534</v>
      </c>
      <c r="E717" s="233" t="s">
        <v>72</v>
      </c>
      <c r="F717" s="309">
        <v>43158</v>
      </c>
      <c r="G717" s="629"/>
      <c r="H717" s="630"/>
      <c r="I717" s="624"/>
      <c r="J717" s="509" t="s">
        <v>1057</v>
      </c>
      <c r="K717" s="255" t="s">
        <v>13</v>
      </c>
      <c r="L717" s="3" t="s">
        <v>11</v>
      </c>
      <c r="M717" s="369">
        <v>4</v>
      </c>
      <c r="N717" s="236" t="s">
        <v>17</v>
      </c>
      <c r="O717" s="235"/>
      <c r="P717" s="90">
        <f t="shared" si="53"/>
        <v>4</v>
      </c>
      <c r="Q717" s="558" t="s">
        <v>1363</v>
      </c>
      <c r="R717" s="272"/>
      <c r="S717" s="288">
        <v>43839</v>
      </c>
      <c r="V717" s="341"/>
      <c r="W717" s="348"/>
      <c r="X717" s="256"/>
      <c r="Y717" s="63"/>
      <c r="Z717" s="257">
        <f>1056640/508</f>
        <v>2080</v>
      </c>
      <c r="AA717" s="65"/>
      <c r="AB717"/>
      <c r="AC717"/>
    </row>
    <row r="718" spans="1:29" s="203" customFormat="1" ht="21" customHeight="1">
      <c r="A718" s="359" t="s">
        <v>20</v>
      </c>
      <c r="B718"/>
      <c r="C718"/>
      <c r="D718" s="123" t="s">
        <v>485</v>
      </c>
      <c r="E718" s="233" t="s">
        <v>72</v>
      </c>
      <c r="F718" s="319">
        <v>43158</v>
      </c>
      <c r="G718" s="629"/>
      <c r="H718" s="630"/>
      <c r="I718" s="624"/>
      <c r="J718" s="507" t="s">
        <v>1056</v>
      </c>
      <c r="K718" s="255" t="s">
        <v>13</v>
      </c>
      <c r="L718" s="3" t="s">
        <v>11</v>
      </c>
      <c r="M718" s="369">
        <v>2</v>
      </c>
      <c r="N718" s="236" t="s">
        <v>17</v>
      </c>
      <c r="O718" s="235"/>
      <c r="P718" s="90">
        <f t="shared" si="53"/>
        <v>2</v>
      </c>
      <c r="Q718" s="558" t="s">
        <v>1337</v>
      </c>
      <c r="R718" s="272"/>
      <c r="S718" s="288">
        <v>43839</v>
      </c>
      <c r="T718"/>
      <c r="U718"/>
      <c r="V718"/>
      <c r="W718"/>
      <c r="X718" s="256"/>
      <c r="Y718" s="63"/>
      <c r="Z718" s="257"/>
      <c r="AA718" s="65"/>
      <c r="AB718"/>
      <c r="AC718"/>
    </row>
    <row r="719" spans="1:29" s="1" customFormat="1" ht="20.25" customHeight="1">
      <c r="A719" s="359" t="s">
        <v>20</v>
      </c>
      <c r="B719" s="194"/>
      <c r="C719" s="202"/>
      <c r="D719" s="169" t="s">
        <v>838</v>
      </c>
      <c r="E719" s="124" t="s">
        <v>93</v>
      </c>
      <c r="F719" s="320">
        <v>43124</v>
      </c>
      <c r="G719" s="627"/>
      <c r="H719" s="631"/>
      <c r="I719" s="624"/>
      <c r="J719" s="125" t="s">
        <v>1297</v>
      </c>
      <c r="K719" s="125" t="s">
        <v>91</v>
      </c>
      <c r="L719" s="3" t="s">
        <v>599</v>
      </c>
      <c r="M719" s="369">
        <v>1</v>
      </c>
      <c r="N719" s="236" t="s">
        <v>1295</v>
      </c>
      <c r="O719" s="235"/>
      <c r="P719" s="90">
        <f t="shared" si="53"/>
        <v>1</v>
      </c>
      <c r="Q719" s="558" t="s">
        <v>1296</v>
      </c>
      <c r="R719" s="272"/>
      <c r="S719" s="288">
        <v>43441</v>
      </c>
      <c r="T719"/>
      <c r="U719"/>
      <c r="V719" s="341"/>
      <c r="W719" s="348"/>
      <c r="X719" s="256"/>
      <c r="Y719" s="63"/>
      <c r="Z719" s="257"/>
      <c r="AA719" s="65"/>
      <c r="AB719"/>
      <c r="AC719"/>
    </row>
    <row r="720" spans="1:29" ht="20.25" customHeight="1">
      <c r="A720" s="359" t="s">
        <v>20</v>
      </c>
      <c r="B720" s="10"/>
      <c r="C720" s="10"/>
      <c r="D720" s="169" t="s">
        <v>837</v>
      </c>
      <c r="E720" s="233" t="s">
        <v>93</v>
      </c>
      <c r="F720" s="319">
        <v>43124</v>
      </c>
      <c r="G720" s="629"/>
      <c r="H720" s="630"/>
      <c r="I720" s="624"/>
      <c r="J720" s="125" t="s">
        <v>1297</v>
      </c>
      <c r="K720" s="255" t="s">
        <v>91</v>
      </c>
      <c r="L720" s="3" t="s">
        <v>599</v>
      </c>
      <c r="M720" s="369">
        <v>3</v>
      </c>
      <c r="N720" s="236" t="s">
        <v>1295</v>
      </c>
      <c r="O720" s="235"/>
      <c r="P720" s="90">
        <f t="shared" si="53"/>
        <v>3</v>
      </c>
      <c r="Q720" s="558" t="s">
        <v>1296</v>
      </c>
      <c r="R720" s="498"/>
      <c r="S720" s="288">
        <v>43441</v>
      </c>
      <c r="T720" s="20"/>
      <c r="U720" s="1"/>
      <c r="V720" s="28">
        <v>46.2</v>
      </c>
      <c r="W720" s="49"/>
      <c r="X720" s="63"/>
      <c r="Y720" s="63"/>
      <c r="Z720" s="64"/>
      <c r="AA720" s="65"/>
      <c r="AB720" s="144"/>
      <c r="AC720" s="117"/>
    </row>
    <row r="721" spans="1:29" s="141" customFormat="1" ht="20.25" customHeight="1">
      <c r="A721" s="359" t="s">
        <v>28</v>
      </c>
      <c r="C721" s="122"/>
      <c r="D721" s="265" t="s">
        <v>860</v>
      </c>
      <c r="E721" s="360" t="s">
        <v>860</v>
      </c>
      <c r="F721" s="314" t="s">
        <v>860</v>
      </c>
      <c r="G721" s="644" t="s">
        <v>860</v>
      </c>
      <c r="H721" s="645" t="s">
        <v>860</v>
      </c>
      <c r="I721" s="646"/>
      <c r="J721" s="366" t="s">
        <v>860</v>
      </c>
      <c r="K721" s="266" t="s">
        <v>860</v>
      </c>
      <c r="L721" s="266" t="s">
        <v>860</v>
      </c>
      <c r="M721" s="374" t="s">
        <v>860</v>
      </c>
      <c r="N721" s="266" t="s">
        <v>860</v>
      </c>
      <c r="O721" s="267"/>
      <c r="P721" s="496" t="str">
        <f t="shared" si="53"/>
        <v>MISSING</v>
      </c>
      <c r="Q721" s="268" t="s">
        <v>860</v>
      </c>
      <c r="R721" s="532" t="s">
        <v>860</v>
      </c>
      <c r="S721" s="338">
        <v>41791</v>
      </c>
      <c r="T721" s="27"/>
      <c r="U721" s="8"/>
      <c r="V721" s="742"/>
      <c r="W721" s="745"/>
      <c r="X721" s="63"/>
      <c r="Y721" s="63"/>
      <c r="Z721" s="64">
        <v>2500</v>
      </c>
      <c r="AA721" s="65"/>
      <c r="AB721"/>
      <c r="AC721"/>
    </row>
    <row r="722" spans="1:29" ht="18.75" customHeight="1">
      <c r="A722" s="377" t="s">
        <v>52</v>
      </c>
      <c r="B722" s="186"/>
      <c r="C722" s="188"/>
      <c r="D722" s="249" t="s">
        <v>115</v>
      </c>
      <c r="E722" s="124" t="s">
        <v>1423</v>
      </c>
      <c r="F722" s="378">
        <v>43385</v>
      </c>
      <c r="G722" s="627"/>
      <c r="H722" s="627"/>
      <c r="I722" s="628"/>
      <c r="J722" s="508" t="s">
        <v>1424</v>
      </c>
      <c r="K722" s="379" t="s">
        <v>880</v>
      </c>
      <c r="L722" s="125" t="s">
        <v>1425</v>
      </c>
      <c r="M722" s="380">
        <v>2</v>
      </c>
      <c r="N722" s="127" t="s">
        <v>17</v>
      </c>
      <c r="O722" s="235"/>
      <c r="P722" s="381">
        <f t="shared" si="53"/>
        <v>2</v>
      </c>
      <c r="Q722" s="382"/>
      <c r="R722" s="566"/>
      <c r="S722" s="383" t="s">
        <v>168</v>
      </c>
      <c r="T722" s="27"/>
      <c r="U722" s="81"/>
      <c r="V722" s="738"/>
      <c r="W722" s="744"/>
      <c r="X722" s="63"/>
      <c r="Y722" s="139"/>
      <c r="Z722" s="131"/>
      <c r="AA722" s="140"/>
      <c r="AB722" s="141"/>
      <c r="AC722" s="141"/>
    </row>
    <row r="723" spans="1:29" ht="20.25" customHeight="1">
      <c r="A723" s="359" t="s">
        <v>20</v>
      </c>
      <c r="B723" s="186"/>
      <c r="C723" s="188"/>
      <c r="D723" s="169" t="s">
        <v>495</v>
      </c>
      <c r="E723" s="124" t="s">
        <v>1061</v>
      </c>
      <c r="F723" s="378">
        <v>43217</v>
      </c>
      <c r="G723" s="627"/>
      <c r="H723" s="627"/>
      <c r="I723" s="624"/>
      <c r="J723" s="508" t="s">
        <v>1062</v>
      </c>
      <c r="K723" s="379" t="s">
        <v>1063</v>
      </c>
      <c r="L723" s="125" t="s">
        <v>1064</v>
      </c>
      <c r="M723" s="380">
        <v>4</v>
      </c>
      <c r="N723" s="127" t="s">
        <v>17</v>
      </c>
      <c r="O723" s="126"/>
      <c r="P723" s="381">
        <f t="shared" si="53"/>
        <v>4</v>
      </c>
      <c r="Q723" s="554" t="s">
        <v>1426</v>
      </c>
      <c r="R723" s="498"/>
      <c r="S723" s="383">
        <v>43435</v>
      </c>
      <c r="T723" s="27"/>
      <c r="U723" s="81"/>
      <c r="V723" s="82"/>
      <c r="W723" s="81"/>
      <c r="X723" s="63"/>
      <c r="Y723" s="139"/>
      <c r="Z723" s="131"/>
      <c r="AA723" s="140"/>
      <c r="AB723" s="141"/>
      <c r="AC723" s="141"/>
    </row>
    <row r="724" spans="1:29" ht="20.25" customHeight="1">
      <c r="A724" s="359" t="s">
        <v>66</v>
      </c>
      <c r="B724" s="186"/>
      <c r="C724" s="188"/>
      <c r="D724" s="169" t="s">
        <v>495</v>
      </c>
      <c r="E724" s="124" t="s">
        <v>998</v>
      </c>
      <c r="F724" s="378">
        <v>43243</v>
      </c>
      <c r="G724" s="627"/>
      <c r="H724" s="627"/>
      <c r="I724" s="624"/>
      <c r="J724" s="508" t="s">
        <v>1251</v>
      </c>
      <c r="K724" s="379" t="s">
        <v>999</v>
      </c>
      <c r="L724" s="125" t="s">
        <v>1252</v>
      </c>
      <c r="M724" s="380">
        <v>1</v>
      </c>
      <c r="N724" s="127" t="s">
        <v>17</v>
      </c>
      <c r="O724" s="126"/>
      <c r="P724" s="381">
        <f t="shared" si="53"/>
        <v>1</v>
      </c>
      <c r="Q724" s="554" t="s">
        <v>1426</v>
      </c>
      <c r="R724" s="498"/>
      <c r="S724" s="383">
        <v>43482</v>
      </c>
      <c r="T724" s="27"/>
      <c r="U724" s="81"/>
      <c r="V724" s="82"/>
      <c r="W724" s="81"/>
      <c r="X724" s="63"/>
      <c r="Y724" s="139"/>
      <c r="Z724" s="131"/>
      <c r="AA724" s="140">
        <v>1202.1400000000001</v>
      </c>
      <c r="AB724" s="141"/>
      <c r="AC724" s="141"/>
    </row>
    <row r="725" spans="1:29" s="91" customFormat="1" ht="20.25" customHeight="1">
      <c r="A725" s="359" t="s">
        <v>28</v>
      </c>
      <c r="B725" s="156"/>
      <c r="C725" s="176"/>
      <c r="D725" s="169" t="s">
        <v>744</v>
      </c>
      <c r="E725" s="181" t="s">
        <v>622</v>
      </c>
      <c r="F725" s="320">
        <v>42815</v>
      </c>
      <c r="G725" s="625"/>
      <c r="H725" s="626"/>
      <c r="I725" s="624"/>
      <c r="J725" s="517" t="s">
        <v>623</v>
      </c>
      <c r="K725" s="133" t="s">
        <v>624</v>
      </c>
      <c r="L725" s="133" t="s">
        <v>1177</v>
      </c>
      <c r="M725" s="369">
        <v>1</v>
      </c>
      <c r="N725" s="135" t="s">
        <v>17</v>
      </c>
      <c r="O725" s="235"/>
      <c r="P725" s="90">
        <f t="shared" si="53"/>
        <v>1</v>
      </c>
      <c r="Q725" s="559" t="s">
        <v>1356</v>
      </c>
      <c r="R725" s="272"/>
      <c r="S725" s="288"/>
      <c r="T725" s="27"/>
      <c r="U725"/>
      <c r="V725" s="89"/>
      <c r="W725" s="89"/>
      <c r="X725" s="63">
        <v>129.6</v>
      </c>
      <c r="Y725" s="63"/>
      <c r="Z725" s="64"/>
      <c r="AA725" s="65"/>
      <c r="AB725" s="142"/>
      <c r="AC725" s="117"/>
    </row>
    <row r="726" spans="1:29" s="203" customFormat="1" ht="21" customHeight="1">
      <c r="A726" s="359" t="s">
        <v>20</v>
      </c>
      <c r="B726" s="194"/>
      <c r="C726" s="202"/>
      <c r="D726" s="169" t="s">
        <v>640</v>
      </c>
      <c r="E726" s="124" t="s">
        <v>1327</v>
      </c>
      <c r="F726" s="320">
        <v>43238</v>
      </c>
      <c r="G726" s="627"/>
      <c r="H726" s="631"/>
      <c r="I726" s="624"/>
      <c r="J726" s="517" t="s">
        <v>1328</v>
      </c>
      <c r="K726" s="125" t="s">
        <v>1329</v>
      </c>
      <c r="L726" s="133" t="s">
        <v>1330</v>
      </c>
      <c r="M726" s="369">
        <v>1</v>
      </c>
      <c r="N726" s="236" t="s">
        <v>17</v>
      </c>
      <c r="O726" s="235"/>
      <c r="P726" s="90">
        <f t="shared" si="53"/>
        <v>1</v>
      </c>
      <c r="Q726" s="557" t="s">
        <v>1353</v>
      </c>
      <c r="R726" s="272"/>
      <c r="S726" s="288"/>
      <c r="T726" s="27"/>
      <c r="U726" s="8"/>
      <c r="V726" s="345"/>
      <c r="W726" s="352"/>
      <c r="X726" s="63"/>
      <c r="Y726" s="63"/>
      <c r="Z726" s="64"/>
      <c r="AA726" s="65"/>
      <c r="AB726"/>
      <c r="AC726"/>
    </row>
    <row r="727" spans="1:29" s="141" customFormat="1" ht="20.25" customHeight="1">
      <c r="A727" s="359" t="s">
        <v>20</v>
      </c>
      <c r="B727"/>
      <c r="C727" s="84"/>
      <c r="D727" s="169" t="s">
        <v>838</v>
      </c>
      <c r="E727" s="124" t="s">
        <v>909</v>
      </c>
      <c r="F727" s="320">
        <v>43060</v>
      </c>
      <c r="G727" s="627"/>
      <c r="H727" s="631"/>
      <c r="I727" s="624"/>
      <c r="J727" s="125" t="s">
        <v>910</v>
      </c>
      <c r="K727" s="125" t="s">
        <v>911</v>
      </c>
      <c r="L727" s="133" t="s">
        <v>599</v>
      </c>
      <c r="M727" s="369">
        <v>0.25</v>
      </c>
      <c r="N727" s="236" t="s">
        <v>17</v>
      </c>
      <c r="O727" s="235"/>
      <c r="P727" s="90">
        <f t="shared" si="53"/>
        <v>0.25</v>
      </c>
      <c r="Q727" s="557" t="s">
        <v>1345</v>
      </c>
      <c r="R727" s="272"/>
      <c r="S727" s="276">
        <v>43385</v>
      </c>
      <c r="T727" s="27"/>
      <c r="U727" s="8"/>
      <c r="V727" s="345"/>
      <c r="W727" s="352"/>
      <c r="X727" s="63"/>
      <c r="Y727" s="63"/>
      <c r="Z727" s="64"/>
      <c r="AA727" s="65"/>
      <c r="AB727"/>
      <c r="AC727"/>
    </row>
    <row r="728" spans="1:29" ht="20.25" customHeight="1">
      <c r="A728" s="359" t="s">
        <v>20</v>
      </c>
      <c r="B728" s="141"/>
      <c r="C728" s="122"/>
      <c r="D728" s="123" t="s">
        <v>603</v>
      </c>
      <c r="E728" s="233" t="s">
        <v>486</v>
      </c>
      <c r="F728" s="319">
        <v>43116</v>
      </c>
      <c r="G728" s="627"/>
      <c r="H728" s="631"/>
      <c r="I728" s="624"/>
      <c r="J728" s="234" t="s">
        <v>1007</v>
      </c>
      <c r="K728" s="234" t="s">
        <v>1008</v>
      </c>
      <c r="L728" s="234" t="s">
        <v>1180</v>
      </c>
      <c r="M728" s="369">
        <v>3</v>
      </c>
      <c r="N728" s="236" t="s">
        <v>17</v>
      </c>
      <c r="O728" s="235"/>
      <c r="P728" s="90">
        <f t="shared" ref="P728:P747" si="54">IF(O728="",M728,M728-O728)</f>
        <v>3</v>
      </c>
      <c r="Q728" s="557" t="s">
        <v>1131</v>
      </c>
      <c r="R728" s="533" t="s">
        <v>1132</v>
      </c>
      <c r="S728" s="288">
        <v>43604</v>
      </c>
      <c r="T728" s="136"/>
      <c r="U728" s="137"/>
      <c r="V728" s="743"/>
      <c r="W728" s="746"/>
      <c r="X728" s="139"/>
      <c r="Y728" s="139"/>
      <c r="Z728" s="131"/>
      <c r="AA728" s="140"/>
      <c r="AB728" s="142"/>
      <c r="AC728" s="132"/>
    </row>
    <row r="729" spans="1:29" s="53" customFormat="1" ht="21.75" customHeight="1">
      <c r="A729" s="359" t="s">
        <v>28</v>
      </c>
      <c r="B729"/>
      <c r="C729"/>
      <c r="D729" s="169" t="s">
        <v>379</v>
      </c>
      <c r="E729" s="124" t="s">
        <v>1053</v>
      </c>
      <c r="F729" s="323" t="s">
        <v>835</v>
      </c>
      <c r="G729" s="627"/>
      <c r="H729" s="631"/>
      <c r="I729" s="624"/>
      <c r="J729" s="234" t="s">
        <v>1054</v>
      </c>
      <c r="K729" s="125" t="s">
        <v>1055</v>
      </c>
      <c r="L729" s="125" t="s">
        <v>1168</v>
      </c>
      <c r="M729" s="368">
        <v>1</v>
      </c>
      <c r="N729" s="127" t="s">
        <v>17</v>
      </c>
      <c r="O729" s="126"/>
      <c r="P729" s="90">
        <f t="shared" si="54"/>
        <v>1</v>
      </c>
      <c r="Q729" s="557" t="s">
        <v>1083</v>
      </c>
      <c r="R729" s="524" t="s">
        <v>1589</v>
      </c>
      <c r="S729" s="288">
        <v>43404</v>
      </c>
      <c r="T729"/>
      <c r="U729"/>
      <c r="V729"/>
      <c r="W729"/>
      <c r="X729" s="256"/>
      <c r="Y729" s="63"/>
      <c r="Z729" s="257"/>
      <c r="AA729" s="65"/>
      <c r="AB729"/>
      <c r="AC729"/>
    </row>
    <row r="730" spans="1:29" s="92" customFormat="1" ht="20.25" customHeight="1">
      <c r="A730" s="359" t="s">
        <v>20</v>
      </c>
      <c r="B730" s="53"/>
      <c r="C730" s="76" t="str">
        <f>K$2</f>
        <v>10/08/2019</v>
      </c>
      <c r="D730" s="123" t="s">
        <v>1027</v>
      </c>
      <c r="E730" s="233" t="s">
        <v>93</v>
      </c>
      <c r="F730" s="319">
        <v>43124</v>
      </c>
      <c r="G730" s="629"/>
      <c r="H730" s="630"/>
      <c r="I730" s="624"/>
      <c r="J730" s="255" t="s">
        <v>90</v>
      </c>
      <c r="K730" s="255" t="s">
        <v>91</v>
      </c>
      <c r="L730" s="255" t="s">
        <v>92</v>
      </c>
      <c r="M730" s="369">
        <v>1</v>
      </c>
      <c r="N730" s="236" t="s">
        <v>1022</v>
      </c>
      <c r="O730" s="235"/>
      <c r="P730" s="90">
        <f t="shared" si="54"/>
        <v>1</v>
      </c>
      <c r="Q730" s="557" t="s">
        <v>1066</v>
      </c>
      <c r="R730" s="528" t="s">
        <v>1273</v>
      </c>
      <c r="S730" s="276">
        <v>43441</v>
      </c>
      <c r="T730" s="72"/>
      <c r="U730" s="73"/>
      <c r="V730" s="74"/>
      <c r="W730" s="73"/>
      <c r="X730" s="78"/>
      <c r="Y730" s="75"/>
      <c r="Z730" s="64">
        <v>2220</v>
      </c>
      <c r="AA730" s="53"/>
      <c r="AB730" s="115"/>
      <c r="AC730" s="117"/>
    </row>
    <row r="731" spans="1:29" s="141" customFormat="1" ht="20.25" customHeight="1">
      <c r="A731" s="359" t="s">
        <v>20</v>
      </c>
      <c r="B731" s="92"/>
      <c r="C731" s="93" t="str">
        <f>K$2</f>
        <v>10/08/2019</v>
      </c>
      <c r="D731" s="169" t="s">
        <v>699</v>
      </c>
      <c r="E731" s="181" t="s">
        <v>444</v>
      </c>
      <c r="F731" s="320">
        <v>42643</v>
      </c>
      <c r="G731" s="625"/>
      <c r="H731" s="626"/>
      <c r="I731" s="624"/>
      <c r="J731" s="290" t="s">
        <v>437</v>
      </c>
      <c r="K731" s="280" t="s">
        <v>438</v>
      </c>
      <c r="L731" s="133" t="s">
        <v>439</v>
      </c>
      <c r="M731" s="370">
        <v>15</v>
      </c>
      <c r="N731" s="135" t="s">
        <v>17</v>
      </c>
      <c r="O731" s="235"/>
      <c r="P731" s="90">
        <f t="shared" si="54"/>
        <v>15</v>
      </c>
      <c r="Q731" s="556" t="s">
        <v>1070</v>
      </c>
      <c r="R731" s="524" t="s">
        <v>1079</v>
      </c>
      <c r="S731" s="276">
        <v>42766</v>
      </c>
      <c r="T731" s="94"/>
      <c r="U731" s="95"/>
      <c r="V731" s="96"/>
      <c r="W731" s="95"/>
      <c r="X731" s="92"/>
      <c r="Y731" s="97"/>
      <c r="Z731" s="98">
        <v>16560</v>
      </c>
      <c r="AA731" s="92"/>
      <c r="AB731" s="142"/>
      <c r="AC731" s="117"/>
    </row>
    <row r="732" spans="1:29" ht="20.25" customHeight="1">
      <c r="A732" s="359" t="s">
        <v>20</v>
      </c>
      <c r="B732" s="141"/>
      <c r="C732" s="122"/>
      <c r="D732" s="169" t="s">
        <v>453</v>
      </c>
      <c r="E732" s="181" t="s">
        <v>432</v>
      </c>
      <c r="F732" s="323">
        <v>42564</v>
      </c>
      <c r="G732" s="627"/>
      <c r="H732" s="631"/>
      <c r="I732" s="624"/>
      <c r="J732" s="125" t="s">
        <v>322</v>
      </c>
      <c r="K732" s="125" t="s">
        <v>323</v>
      </c>
      <c r="L732" s="125" t="s">
        <v>433</v>
      </c>
      <c r="M732" s="368">
        <v>2</v>
      </c>
      <c r="N732" s="127" t="s">
        <v>17</v>
      </c>
      <c r="O732" s="180"/>
      <c r="P732" s="90">
        <f t="shared" si="54"/>
        <v>2</v>
      </c>
      <c r="Q732" s="556" t="s">
        <v>1025</v>
      </c>
      <c r="R732" s="339"/>
      <c r="S732" s="288"/>
      <c r="T732" s="136"/>
      <c r="U732" s="137"/>
      <c r="V732" s="138"/>
      <c r="W732" s="137"/>
      <c r="X732" s="139"/>
      <c r="Y732" s="139">
        <v>17.5</v>
      </c>
      <c r="Z732" s="131"/>
      <c r="AA732" s="140"/>
      <c r="AB732" s="141"/>
      <c r="AC732" s="141"/>
    </row>
    <row r="733" spans="1:29" s="53" customFormat="1" ht="20.25" customHeight="1">
      <c r="A733" s="377" t="s">
        <v>71</v>
      </c>
      <c r="B733"/>
      <c r="C733" s="84"/>
      <c r="D733" s="123" t="s">
        <v>427</v>
      </c>
      <c r="E733" s="124" t="s">
        <v>169</v>
      </c>
      <c r="F733" s="323">
        <v>43046</v>
      </c>
      <c r="G733" s="627"/>
      <c r="H733" s="631"/>
      <c r="I733" s="624"/>
      <c r="J733" s="125" t="s">
        <v>199</v>
      </c>
      <c r="K733" s="125" t="s">
        <v>870</v>
      </c>
      <c r="L733" s="125" t="s">
        <v>7</v>
      </c>
      <c r="M733" s="368">
        <v>54</v>
      </c>
      <c r="N733" s="127" t="s">
        <v>14</v>
      </c>
      <c r="O733" s="180"/>
      <c r="P733" s="90">
        <f t="shared" si="54"/>
        <v>54</v>
      </c>
      <c r="Q733" s="557" t="s">
        <v>875</v>
      </c>
      <c r="R733" s="524" t="s">
        <v>1068</v>
      </c>
      <c r="S733" s="288">
        <v>43375</v>
      </c>
      <c r="T733" s="27"/>
      <c r="U733" s="8"/>
      <c r="V733" s="121"/>
      <c r="W733" s="8"/>
      <c r="X733" s="63"/>
      <c r="Y733" s="63"/>
      <c r="Z733" s="64"/>
      <c r="AA733" s="65"/>
      <c r="AB733"/>
      <c r="AC733"/>
    </row>
    <row r="734" spans="1:29" s="186" customFormat="1" ht="20.25" customHeight="1">
      <c r="A734" s="377" t="s">
        <v>28</v>
      </c>
      <c r="B734" s="53"/>
      <c r="C734" s="84"/>
      <c r="D734" s="123" t="s">
        <v>525</v>
      </c>
      <c r="E734" s="233" t="s">
        <v>907</v>
      </c>
      <c r="F734" s="319">
        <v>43054</v>
      </c>
      <c r="G734" s="627"/>
      <c r="H734" s="631"/>
      <c r="I734" s="624"/>
      <c r="J734" s="234" t="s">
        <v>933</v>
      </c>
      <c r="K734" s="234" t="s">
        <v>908</v>
      </c>
      <c r="L734" s="234" t="s">
        <v>1192</v>
      </c>
      <c r="M734" s="369">
        <v>1</v>
      </c>
      <c r="N734" s="236" t="s">
        <v>17</v>
      </c>
      <c r="O734" s="180"/>
      <c r="P734" s="90">
        <f t="shared" si="54"/>
        <v>1</v>
      </c>
      <c r="Q734" s="557" t="s">
        <v>875</v>
      </c>
      <c r="R734" s="498"/>
      <c r="S734" s="288">
        <v>43510</v>
      </c>
      <c r="T734" s="54"/>
      <c r="U734" s="73"/>
      <c r="V734" s="702"/>
      <c r="W734" s="703"/>
      <c r="X734" s="66">
        <v>43.33</v>
      </c>
      <c r="Y734" s="66"/>
      <c r="Z734" s="67"/>
      <c r="AA734" s="68"/>
      <c r="AB734" s="142"/>
      <c r="AC734" s="117"/>
    </row>
    <row r="735" spans="1:29" s="58" customFormat="1" ht="21" customHeight="1">
      <c r="A735" s="359" t="s">
        <v>28</v>
      </c>
      <c r="B735" s="141"/>
      <c r="C735" s="176"/>
      <c r="D735" s="169" t="s">
        <v>464</v>
      </c>
      <c r="E735" s="124" t="s">
        <v>424</v>
      </c>
      <c r="F735" s="323">
        <v>43004</v>
      </c>
      <c r="G735" s="627"/>
      <c r="H735" s="631"/>
      <c r="I735" s="624"/>
      <c r="J735" s="125" t="s">
        <v>387</v>
      </c>
      <c r="K735" s="125" t="s">
        <v>328</v>
      </c>
      <c r="L735" s="125" t="s">
        <v>380</v>
      </c>
      <c r="M735" s="368">
        <v>50</v>
      </c>
      <c r="N735" s="127" t="s">
        <v>1160</v>
      </c>
      <c r="O735" s="180"/>
      <c r="P735" s="90">
        <f t="shared" si="54"/>
        <v>50</v>
      </c>
      <c r="Q735" s="557" t="s">
        <v>875</v>
      </c>
      <c r="R735" s="272"/>
      <c r="S735" s="277"/>
      <c r="T735" s="136"/>
      <c r="U735" s="141"/>
      <c r="V735" s="182"/>
      <c r="W735" s="183"/>
      <c r="X735" s="139">
        <v>88.2</v>
      </c>
      <c r="Y735" s="139"/>
      <c r="Z735" s="131"/>
      <c r="AA735" s="140"/>
      <c r="AB735" s="228"/>
      <c r="AC735" s="132"/>
    </row>
    <row r="736" spans="1:29" s="156" customFormat="1" ht="21" customHeight="1">
      <c r="A736" s="359" t="s">
        <v>28</v>
      </c>
      <c r="B736" s="79"/>
      <c r="C736" s="80"/>
      <c r="D736" s="169" t="s">
        <v>233</v>
      </c>
      <c r="E736" s="181" t="s">
        <v>577</v>
      </c>
      <c r="F736" s="320">
        <v>42760</v>
      </c>
      <c r="G736" s="625"/>
      <c r="H736" s="626"/>
      <c r="I736" s="624"/>
      <c r="J736" s="290" t="s">
        <v>864</v>
      </c>
      <c r="K736" s="290" t="s">
        <v>578</v>
      </c>
      <c r="L736" s="133" t="s">
        <v>1191</v>
      </c>
      <c r="M736" s="370">
        <v>1</v>
      </c>
      <c r="N736" s="135" t="s">
        <v>17</v>
      </c>
      <c r="O736" s="189"/>
      <c r="P736" s="90">
        <f t="shared" si="54"/>
        <v>1</v>
      </c>
      <c r="Q736" s="557" t="s">
        <v>875</v>
      </c>
      <c r="R736" s="272"/>
      <c r="S736" s="288">
        <v>43024</v>
      </c>
      <c r="T736" s="72"/>
      <c r="U736" s="81"/>
      <c r="V736" s="738"/>
      <c r="W736" s="81"/>
      <c r="X736" s="60">
        <v>1.137</v>
      </c>
      <c r="Y736" s="60"/>
      <c r="Z736" s="83"/>
      <c r="AA736" s="62"/>
      <c r="AB736" s="142"/>
      <c r="AC736" s="117"/>
    </row>
    <row r="737" spans="1:29" s="141" customFormat="1" ht="20.25" customHeight="1">
      <c r="A737" s="359" t="s">
        <v>28</v>
      </c>
      <c r="B737" s="172"/>
      <c r="C737" s="173"/>
      <c r="D737" s="169" t="s">
        <v>427</v>
      </c>
      <c r="E737" s="149" t="s">
        <v>431</v>
      </c>
      <c r="F737" s="321">
        <v>42779</v>
      </c>
      <c r="G737" s="625"/>
      <c r="H737" s="626"/>
      <c r="I737" s="624"/>
      <c r="J737" s="285" t="s">
        <v>167</v>
      </c>
      <c r="K737" s="285" t="s">
        <v>590</v>
      </c>
      <c r="L737" s="285" t="s">
        <v>229</v>
      </c>
      <c r="M737" s="370">
        <v>48</v>
      </c>
      <c r="N737" s="150" t="s">
        <v>1160</v>
      </c>
      <c r="O737" s="187"/>
      <c r="P737" s="90">
        <f t="shared" si="54"/>
        <v>48</v>
      </c>
      <c r="Q737" s="557" t="s">
        <v>875</v>
      </c>
      <c r="R737" s="272"/>
      <c r="S737" s="288"/>
      <c r="T737" s="151"/>
      <c r="U737" s="152"/>
      <c r="V737" s="174"/>
      <c r="W737" s="152"/>
      <c r="X737" s="153"/>
      <c r="Y737" s="153"/>
      <c r="Z737" s="154">
        <v>11520</v>
      </c>
      <c r="AA737" s="155"/>
      <c r="AB737" s="142"/>
      <c r="AC737" s="132"/>
    </row>
    <row r="738" spans="1:29" s="141" customFormat="1" ht="20.25" customHeight="1">
      <c r="A738" s="359" t="s">
        <v>20</v>
      </c>
      <c r="C738" s="176"/>
      <c r="D738" s="169" t="s">
        <v>233</v>
      </c>
      <c r="E738" s="170" t="s">
        <v>314</v>
      </c>
      <c r="F738" s="310">
        <v>42822</v>
      </c>
      <c r="G738" s="635"/>
      <c r="H738" s="636"/>
      <c r="I738" s="624"/>
      <c r="J738" s="367" t="s">
        <v>315</v>
      </c>
      <c r="K738" s="280" t="s">
        <v>316</v>
      </c>
      <c r="L738" s="133" t="s">
        <v>1182</v>
      </c>
      <c r="M738" s="368">
        <v>0.83000000000000007</v>
      </c>
      <c r="N738" s="259" t="s">
        <v>17</v>
      </c>
      <c r="O738" s="187"/>
      <c r="P738" s="90">
        <f t="shared" si="54"/>
        <v>0.83000000000000007</v>
      </c>
      <c r="Q738" s="557" t="s">
        <v>875</v>
      </c>
      <c r="R738" s="273"/>
      <c r="S738" s="282">
        <v>43070</v>
      </c>
      <c r="T738" s="151"/>
      <c r="U738" s="137"/>
      <c r="V738" s="138"/>
      <c r="W738" s="137"/>
      <c r="X738" s="184">
        <v>49.72</v>
      </c>
      <c r="Y738" s="130"/>
      <c r="Z738" s="131"/>
      <c r="AB738" s="142"/>
      <c r="AC738" s="132"/>
    </row>
    <row r="739" spans="1:29" s="152" customFormat="1" ht="20.25" customHeight="1">
      <c r="A739" s="359" t="s">
        <v>20</v>
      </c>
      <c r="B739" s="141"/>
      <c r="C739" s="122"/>
      <c r="D739" s="123" t="s">
        <v>520</v>
      </c>
      <c r="E739" s="124" t="s">
        <v>72</v>
      </c>
      <c r="F739" s="323">
        <v>42993</v>
      </c>
      <c r="G739" s="627"/>
      <c r="H739" s="631"/>
      <c r="I739" s="624"/>
      <c r="J739" s="125" t="s">
        <v>12</v>
      </c>
      <c r="K739" s="125" t="s">
        <v>818</v>
      </c>
      <c r="L739" s="125" t="s">
        <v>11</v>
      </c>
      <c r="M739" s="368">
        <v>2</v>
      </c>
      <c r="N739" s="127" t="s">
        <v>17</v>
      </c>
      <c r="O739" s="180"/>
      <c r="P739" s="90">
        <f t="shared" si="54"/>
        <v>2</v>
      </c>
      <c r="Q739" s="557" t="s">
        <v>875</v>
      </c>
      <c r="R739" s="273"/>
      <c r="S739" s="281">
        <v>43673</v>
      </c>
      <c r="T739" s="136"/>
      <c r="U739" s="137"/>
      <c r="V739" s="138"/>
      <c r="W739" s="137"/>
      <c r="X739" s="139"/>
      <c r="Y739" s="139"/>
      <c r="Z739" s="131">
        <v>2080</v>
      </c>
      <c r="AA739" s="140"/>
      <c r="AB739" s="139"/>
      <c r="AC739" s="141"/>
    </row>
    <row r="740" spans="1:29" s="156" customFormat="1" ht="21" customHeight="1">
      <c r="A740" s="359" t="s">
        <v>20</v>
      </c>
      <c r="B740" s="225"/>
      <c r="C740" s="226" t="str">
        <f>K$2</f>
        <v>10/08/2019</v>
      </c>
      <c r="D740" s="169" t="s">
        <v>787</v>
      </c>
      <c r="E740" s="124" t="s">
        <v>72</v>
      </c>
      <c r="F740" s="320">
        <v>42977</v>
      </c>
      <c r="G740" s="625"/>
      <c r="H740" s="626"/>
      <c r="I740" s="624"/>
      <c r="J740" s="290" t="s">
        <v>12</v>
      </c>
      <c r="K740" s="280" t="s">
        <v>13</v>
      </c>
      <c r="L740" s="133" t="s">
        <v>11</v>
      </c>
      <c r="M740" s="370">
        <v>1</v>
      </c>
      <c r="N740" s="135" t="s">
        <v>17</v>
      </c>
      <c r="O740" s="180"/>
      <c r="P740" s="90">
        <f t="shared" si="54"/>
        <v>1</v>
      </c>
      <c r="Q740" s="557" t="s">
        <v>875</v>
      </c>
      <c r="R740" s="273"/>
      <c r="S740" s="281">
        <v>43655</v>
      </c>
      <c r="T740" s="152"/>
      <c r="U740" s="216"/>
      <c r="V740" s="227">
        <v>9.9</v>
      </c>
      <c r="W740" s="227"/>
      <c r="X740" s="217"/>
      <c r="Y740" s="217"/>
      <c r="Z740" s="218">
        <v>1000</v>
      </c>
      <c r="AA740" s="219"/>
      <c r="AB740" s="142"/>
      <c r="AC740" s="132"/>
    </row>
    <row r="741" spans="1:29" s="114" customFormat="1" ht="21" customHeight="1">
      <c r="A741" s="359" t="s">
        <v>20</v>
      </c>
      <c r="B741" s="172"/>
      <c r="C741" s="173"/>
      <c r="D741" s="123" t="s">
        <v>174</v>
      </c>
      <c r="E741" s="181" t="s">
        <v>154</v>
      </c>
      <c r="F741" s="320">
        <v>41941</v>
      </c>
      <c r="G741" s="625"/>
      <c r="H741" s="626"/>
      <c r="I741" s="624"/>
      <c r="J741" s="290" t="s">
        <v>403</v>
      </c>
      <c r="K741" s="280" t="s">
        <v>157</v>
      </c>
      <c r="L741" s="133" t="s">
        <v>1184</v>
      </c>
      <c r="M741" s="370">
        <v>40</v>
      </c>
      <c r="N741" s="289" t="s">
        <v>1160</v>
      </c>
      <c r="O741" s="187"/>
      <c r="P741" s="90">
        <f t="shared" si="54"/>
        <v>40</v>
      </c>
      <c r="Q741" s="557" t="s">
        <v>875</v>
      </c>
      <c r="R741" s="273"/>
      <c r="S741" s="277" t="s">
        <v>168</v>
      </c>
      <c r="T741" s="151"/>
      <c r="U741" s="152"/>
      <c r="V741" s="174"/>
      <c r="W741" s="152"/>
      <c r="X741" s="153"/>
      <c r="Y741" s="153"/>
      <c r="Z741" s="154">
        <v>2080</v>
      </c>
      <c r="AA741" s="155"/>
      <c r="AB741" s="142"/>
      <c r="AC741" s="132"/>
    </row>
    <row r="742" spans="1:29" s="141" customFormat="1" ht="20.25" customHeight="1">
      <c r="A742" s="359" t="s">
        <v>20</v>
      </c>
      <c r="B742" s="107"/>
      <c r="C742" s="108"/>
      <c r="D742" s="169" t="s">
        <v>365</v>
      </c>
      <c r="E742" s="124" t="s">
        <v>72</v>
      </c>
      <c r="F742" s="323">
        <v>42835</v>
      </c>
      <c r="G742" s="625"/>
      <c r="H742" s="626"/>
      <c r="I742" s="624"/>
      <c r="J742" s="125" t="s">
        <v>12</v>
      </c>
      <c r="K742" s="125" t="s">
        <v>643</v>
      </c>
      <c r="L742" s="125" t="s">
        <v>11</v>
      </c>
      <c r="M742" s="368">
        <v>1</v>
      </c>
      <c r="N742" s="127" t="s">
        <v>17</v>
      </c>
      <c r="O742" s="180"/>
      <c r="P742" s="90">
        <f t="shared" si="54"/>
        <v>1</v>
      </c>
      <c r="Q742" s="557" t="s">
        <v>875</v>
      </c>
      <c r="R742" s="273"/>
      <c r="S742" s="282">
        <v>43524</v>
      </c>
      <c r="T742" s="94"/>
      <c r="U742" s="109"/>
      <c r="V742" s="110"/>
      <c r="W742" s="109"/>
      <c r="X742" s="111">
        <v>36.68</v>
      </c>
      <c r="Y742" s="111"/>
      <c r="Z742" s="112"/>
      <c r="AA742" s="113"/>
      <c r="AB742" s="145"/>
      <c r="AC742" s="120"/>
    </row>
    <row r="743" spans="1:29" s="156" customFormat="1" ht="20.25" customHeight="1">
      <c r="A743" s="359" t="s">
        <v>28</v>
      </c>
      <c r="B743" s="141"/>
      <c r="C743" s="176" t="str">
        <f>K$2</f>
        <v>10/08/2019</v>
      </c>
      <c r="D743" s="169" t="s">
        <v>379</v>
      </c>
      <c r="E743" s="181" t="s">
        <v>857</v>
      </c>
      <c r="F743" s="323">
        <v>42776</v>
      </c>
      <c r="G743" s="627"/>
      <c r="H743" s="631"/>
      <c r="I743" s="624"/>
      <c r="J743" s="125" t="s">
        <v>239</v>
      </c>
      <c r="K743" s="125" t="s">
        <v>617</v>
      </c>
      <c r="L743" s="125" t="s">
        <v>743</v>
      </c>
      <c r="M743" s="368">
        <v>1</v>
      </c>
      <c r="N743" s="127" t="s">
        <v>17</v>
      </c>
      <c r="O743" s="180"/>
      <c r="P743" s="90">
        <f t="shared" si="54"/>
        <v>1</v>
      </c>
      <c r="Q743" s="557" t="s">
        <v>875</v>
      </c>
      <c r="R743" s="273"/>
      <c r="S743" s="281">
        <v>43112</v>
      </c>
      <c r="T743" s="136"/>
      <c r="U743" s="137"/>
      <c r="V743" s="138"/>
      <c r="W743" s="137"/>
      <c r="X743" s="139"/>
      <c r="Y743" s="139"/>
      <c r="Z743" s="131"/>
      <c r="AA743" s="140"/>
      <c r="AB743" s="228"/>
      <c r="AC743" s="132"/>
    </row>
    <row r="744" spans="1:29" s="141" customFormat="1" ht="20.25" customHeight="1">
      <c r="A744" s="359" t="s">
        <v>28</v>
      </c>
      <c r="B744" s="172"/>
      <c r="C744" s="173" t="e">
        <f>#REF!</f>
        <v>#REF!</v>
      </c>
      <c r="D744" s="169" t="s">
        <v>379</v>
      </c>
      <c r="E744" s="181" t="s">
        <v>370</v>
      </c>
      <c r="F744" s="320"/>
      <c r="G744" s="625"/>
      <c r="H744" s="626"/>
      <c r="I744" s="624"/>
      <c r="J744" s="290" t="s">
        <v>447</v>
      </c>
      <c r="K744" s="280" t="s">
        <v>449</v>
      </c>
      <c r="L744" s="133" t="s">
        <v>448</v>
      </c>
      <c r="M744" s="370">
        <v>1</v>
      </c>
      <c r="N744" s="135" t="s">
        <v>17</v>
      </c>
      <c r="O744" s="187"/>
      <c r="P744" s="90">
        <f t="shared" si="54"/>
        <v>1</v>
      </c>
      <c r="Q744" s="557" t="s">
        <v>875</v>
      </c>
      <c r="R744" s="273"/>
      <c r="S744" s="288"/>
      <c r="T744" s="136"/>
      <c r="U744" s="152">
        <f ca="1">IF(F745="","",DAYS360(F745,V744))</f>
        <v>1004</v>
      </c>
      <c r="V744" s="174">
        <f ca="1">TODAY()</f>
        <v>43720</v>
      </c>
      <c r="W744" s="152" t="e">
        <f>IF(P745=0,"",IF(D745=#REF!,"","+"))</f>
        <v>#REF!</v>
      </c>
      <c r="X744" s="153">
        <v>14</v>
      </c>
      <c r="Y744" s="153"/>
      <c r="Z744" s="154"/>
      <c r="AA744" s="155"/>
      <c r="AB744" s="228"/>
      <c r="AC744" s="132"/>
    </row>
    <row r="745" spans="1:29" s="141" customFormat="1" ht="20.25" customHeight="1">
      <c r="A745" s="359" t="s">
        <v>28</v>
      </c>
      <c r="C745" s="176"/>
      <c r="D745" s="169" t="s">
        <v>379</v>
      </c>
      <c r="E745" s="149" t="s">
        <v>480</v>
      </c>
      <c r="F745" s="321">
        <v>42702</v>
      </c>
      <c r="G745" s="625"/>
      <c r="H745" s="626"/>
      <c r="I745" s="624"/>
      <c r="J745" s="285" t="s">
        <v>481</v>
      </c>
      <c r="K745" s="299" t="s">
        <v>482</v>
      </c>
      <c r="L745" s="185" t="s">
        <v>483</v>
      </c>
      <c r="M745" s="370">
        <v>1</v>
      </c>
      <c r="N745" s="150" t="s">
        <v>1134</v>
      </c>
      <c r="O745" s="187"/>
      <c r="P745" s="90">
        <f t="shared" si="54"/>
        <v>1</v>
      </c>
      <c r="Q745" s="557" t="s">
        <v>875</v>
      </c>
      <c r="R745" s="273"/>
      <c r="S745" s="282"/>
      <c r="T745" s="136"/>
      <c r="U745" s="137"/>
      <c r="V745" s="743"/>
      <c r="W745" s="746"/>
      <c r="X745" s="139"/>
      <c r="Y745" s="139"/>
      <c r="Z745" s="131"/>
      <c r="AA745" s="140"/>
      <c r="AB745" s="228"/>
      <c r="AC745" s="132"/>
    </row>
    <row r="746" spans="1:29" s="141" customFormat="1" ht="20.25" customHeight="1">
      <c r="A746" s="359" t="s">
        <v>28</v>
      </c>
      <c r="C746" s="176"/>
      <c r="D746" s="169" t="s">
        <v>379</v>
      </c>
      <c r="E746" s="181" t="s">
        <v>370</v>
      </c>
      <c r="F746" s="320">
        <v>42881</v>
      </c>
      <c r="G746" s="625"/>
      <c r="H746" s="626"/>
      <c r="I746" s="624"/>
      <c r="J746" s="290" t="s">
        <v>691</v>
      </c>
      <c r="K746" s="280" t="s">
        <v>692</v>
      </c>
      <c r="L746" s="133" t="s">
        <v>693</v>
      </c>
      <c r="M746" s="370">
        <v>3</v>
      </c>
      <c r="N746" s="135" t="s">
        <v>701</v>
      </c>
      <c r="O746" s="187"/>
      <c r="P746" s="90">
        <f t="shared" si="54"/>
        <v>3</v>
      </c>
      <c r="Q746" s="557" t="s">
        <v>875</v>
      </c>
      <c r="R746" s="273"/>
      <c r="S746" s="288"/>
      <c r="T746" s="136"/>
      <c r="U746" s="137"/>
      <c r="V746" s="138"/>
      <c r="W746" s="137"/>
      <c r="X746" s="139"/>
      <c r="Y746" s="139"/>
      <c r="Z746" s="131"/>
      <c r="AA746" s="140"/>
      <c r="AB746" s="228"/>
      <c r="AC746" s="132"/>
    </row>
    <row r="747" spans="1:29" s="45" customFormat="1" ht="20.25" customHeight="1">
      <c r="A747" s="359" t="s">
        <v>28</v>
      </c>
      <c r="B747" s="141"/>
      <c r="C747" s="176" t="str">
        <f>K$2</f>
        <v>10/08/2019</v>
      </c>
      <c r="D747" s="169" t="s">
        <v>379</v>
      </c>
      <c r="E747" s="181" t="s">
        <v>750</v>
      </c>
      <c r="F747" s="320">
        <v>42931</v>
      </c>
      <c r="G747" s="625"/>
      <c r="H747" s="626"/>
      <c r="I747" s="624"/>
      <c r="J747" s="290" t="s">
        <v>751</v>
      </c>
      <c r="K747" s="280" t="s">
        <v>752</v>
      </c>
      <c r="L747" s="133" t="s">
        <v>753</v>
      </c>
      <c r="M747" s="370">
        <v>10</v>
      </c>
      <c r="N747" s="135" t="s">
        <v>701</v>
      </c>
      <c r="O747" s="187"/>
      <c r="P747" s="90">
        <f t="shared" si="54"/>
        <v>10</v>
      </c>
      <c r="Q747" s="557" t="s">
        <v>875</v>
      </c>
      <c r="R747" s="273"/>
      <c r="S747" s="288"/>
      <c r="T747" s="136"/>
      <c r="U747" s="137"/>
      <c r="V747" s="138"/>
      <c r="W747" s="137"/>
      <c r="X747" s="139"/>
      <c r="Y747" s="139"/>
      <c r="Z747" s="131"/>
      <c r="AA747" s="140"/>
      <c r="AB747" s="228"/>
      <c r="AC747" s="132"/>
    </row>
    <row r="748" spans="1:29" s="1" customFormat="1" ht="20.25" customHeight="1">
      <c r="A748" s="359" t="s">
        <v>20</v>
      </c>
      <c r="B748" s="8"/>
      <c r="C748" s="76" t="str">
        <f>K$2</f>
        <v>10/08/2019</v>
      </c>
      <c r="D748" s="169" t="s">
        <v>379</v>
      </c>
      <c r="E748" s="181" t="s">
        <v>370</v>
      </c>
      <c r="F748" s="320"/>
      <c r="G748" s="625"/>
      <c r="H748" s="626"/>
      <c r="I748" s="624"/>
      <c r="J748" s="290" t="s">
        <v>447</v>
      </c>
      <c r="K748" s="280" t="s">
        <v>449</v>
      </c>
      <c r="L748" s="133" t="s">
        <v>448</v>
      </c>
      <c r="M748" s="370">
        <v>1</v>
      </c>
      <c r="N748" s="135" t="s">
        <v>17</v>
      </c>
      <c r="O748" s="187"/>
      <c r="P748" s="90">
        <f t="shared" ref="P748:P779" si="55">IF(O748="",M748,M748-O748)</f>
        <v>1</v>
      </c>
      <c r="Q748" s="557" t="s">
        <v>875</v>
      </c>
      <c r="R748" s="273"/>
      <c r="S748" s="288"/>
      <c r="T748" s="35"/>
      <c r="V748" s="32"/>
      <c r="W748" s="33"/>
      <c r="X748" s="60"/>
      <c r="Y748" s="60"/>
      <c r="Z748" s="61"/>
      <c r="AA748" s="62"/>
      <c r="AB748" s="144"/>
      <c r="AC748" s="117"/>
    </row>
    <row r="749" spans="1:29" s="1" customFormat="1" ht="20.25" customHeight="1">
      <c r="A749" s="359" t="s">
        <v>66</v>
      </c>
      <c r="B749" s="8"/>
      <c r="C749" s="76"/>
      <c r="D749" s="169" t="s">
        <v>427</v>
      </c>
      <c r="E749" s="170"/>
      <c r="F749" s="310">
        <v>41289</v>
      </c>
      <c r="G749" s="635"/>
      <c r="H749" s="636"/>
      <c r="I749" s="624"/>
      <c r="J749" s="363" t="s">
        <v>423</v>
      </c>
      <c r="K749" s="280" t="s">
        <v>68</v>
      </c>
      <c r="L749" s="133" t="s">
        <v>1178</v>
      </c>
      <c r="M749" s="368">
        <v>60</v>
      </c>
      <c r="N749" s="259" t="s">
        <v>1160</v>
      </c>
      <c r="O749" s="187"/>
      <c r="P749" s="90">
        <f t="shared" si="55"/>
        <v>60</v>
      </c>
      <c r="Q749" s="557" t="s">
        <v>875</v>
      </c>
      <c r="R749" s="273"/>
      <c r="S749" s="288" t="s">
        <v>168</v>
      </c>
      <c r="T749" s="48"/>
      <c r="V749" s="52"/>
      <c r="X749" s="63"/>
      <c r="Y749" s="63">
        <v>1</v>
      </c>
      <c r="Z749" s="64"/>
      <c r="AA749" s="65"/>
      <c r="AB749" s="144"/>
      <c r="AC749" s="117"/>
    </row>
    <row r="750" spans="1:29" s="53" customFormat="1" ht="20.25" customHeight="1">
      <c r="A750" s="359" t="s">
        <v>28</v>
      </c>
      <c r="B750" s="8"/>
      <c r="C750" s="76"/>
      <c r="D750" s="169" t="s">
        <v>427</v>
      </c>
      <c r="E750" s="170" t="s">
        <v>499</v>
      </c>
      <c r="F750" s="310">
        <v>42678</v>
      </c>
      <c r="G750" s="635"/>
      <c r="H750" s="636"/>
      <c r="I750" s="624"/>
      <c r="J750" s="363" t="s">
        <v>500</v>
      </c>
      <c r="K750" s="280" t="s">
        <v>501</v>
      </c>
      <c r="L750" s="133" t="s">
        <v>1203</v>
      </c>
      <c r="M750" s="370">
        <v>6</v>
      </c>
      <c r="N750" s="171" t="s">
        <v>17</v>
      </c>
      <c r="O750" s="187"/>
      <c r="P750" s="90">
        <f t="shared" si="55"/>
        <v>6</v>
      </c>
      <c r="Q750" s="557" t="s">
        <v>875</v>
      </c>
      <c r="R750" s="273"/>
      <c r="S750" s="288"/>
      <c r="T750" s="48"/>
      <c r="U750" s="1"/>
      <c r="V750" s="52"/>
      <c r="W750" s="1"/>
      <c r="X750" s="63"/>
      <c r="Y750" s="63"/>
      <c r="Z750" s="64"/>
      <c r="AA750" s="65"/>
      <c r="AB750" s="144"/>
      <c r="AC750" s="117"/>
    </row>
    <row r="751" spans="1:29" s="193" customFormat="1" ht="21" customHeight="1">
      <c r="A751" s="359" t="s">
        <v>52</v>
      </c>
      <c r="B751" s="53"/>
      <c r="C751" s="84"/>
      <c r="D751" s="169" t="s">
        <v>427</v>
      </c>
      <c r="E751" s="170" t="s">
        <v>370</v>
      </c>
      <c r="F751" s="310">
        <v>42810</v>
      </c>
      <c r="G751" s="635"/>
      <c r="H751" s="636"/>
      <c r="I751" s="624"/>
      <c r="J751" s="363" t="s">
        <v>621</v>
      </c>
      <c r="K751" s="280" t="s">
        <v>619</v>
      </c>
      <c r="L751" s="133" t="s">
        <v>620</v>
      </c>
      <c r="M751" s="370">
        <v>6</v>
      </c>
      <c r="N751" s="171" t="s">
        <v>17</v>
      </c>
      <c r="O751" s="187"/>
      <c r="P751" s="90">
        <f t="shared" si="55"/>
        <v>6</v>
      </c>
      <c r="Q751" s="557" t="s">
        <v>875</v>
      </c>
      <c r="R751" s="273"/>
      <c r="S751" s="276">
        <v>42867</v>
      </c>
      <c r="T751" s="54"/>
      <c r="U751" s="73"/>
      <c r="V751" s="74"/>
      <c r="W751" s="73"/>
      <c r="X751" s="66"/>
      <c r="Y751" s="66">
        <v>17.3</v>
      </c>
      <c r="Z751" s="67"/>
      <c r="AA751" s="68"/>
      <c r="AB751" s="144"/>
      <c r="AC751" s="117"/>
    </row>
    <row r="752" spans="1:29" s="203" customFormat="1" ht="20.25" customHeight="1">
      <c r="A752" s="377" t="s">
        <v>71</v>
      </c>
      <c r="B752" s="201"/>
      <c r="C752" s="195"/>
      <c r="D752" s="169" t="s">
        <v>836</v>
      </c>
      <c r="E752" s="149" t="s">
        <v>169</v>
      </c>
      <c r="F752" s="321">
        <v>42758</v>
      </c>
      <c r="G752" s="625"/>
      <c r="H752" s="626"/>
      <c r="I752" s="624"/>
      <c r="J752" s="285" t="s">
        <v>199</v>
      </c>
      <c r="K752" s="285" t="s">
        <v>573</v>
      </c>
      <c r="L752" s="285" t="s">
        <v>7</v>
      </c>
      <c r="M752" s="370">
        <v>0.5</v>
      </c>
      <c r="N752" s="150" t="s">
        <v>14</v>
      </c>
      <c r="O752" s="187"/>
      <c r="P752" s="90">
        <f t="shared" si="55"/>
        <v>0.5</v>
      </c>
      <c r="Q752" s="557" t="s">
        <v>875</v>
      </c>
      <c r="R752" s="273"/>
      <c r="S752" s="282">
        <v>43093</v>
      </c>
      <c r="T752" s="196"/>
      <c r="U752" s="194"/>
      <c r="V752" s="741"/>
      <c r="W752" s="741"/>
      <c r="X752" s="198"/>
      <c r="Y752" s="198">
        <v>13.5</v>
      </c>
      <c r="Z752" s="199"/>
      <c r="AA752" s="200"/>
      <c r="AB752" s="191"/>
      <c r="AC752" s="192"/>
    </row>
    <row r="753" spans="1:29" s="203" customFormat="1" ht="20.25" customHeight="1">
      <c r="A753" s="359" t="s">
        <v>20</v>
      </c>
      <c r="B753" s="194"/>
      <c r="C753" s="202" t="str">
        <f>K$2</f>
        <v>10/08/2019</v>
      </c>
      <c r="D753" s="133" t="s">
        <v>837</v>
      </c>
      <c r="E753" s="181" t="s">
        <v>93</v>
      </c>
      <c r="F753" s="320">
        <v>42923</v>
      </c>
      <c r="G753" s="625"/>
      <c r="H753" s="626"/>
      <c r="I753" s="624"/>
      <c r="J753" s="290" t="s">
        <v>90</v>
      </c>
      <c r="K753" s="280" t="s">
        <v>91</v>
      </c>
      <c r="L753" s="133" t="s">
        <v>599</v>
      </c>
      <c r="M753" s="370">
        <v>1</v>
      </c>
      <c r="N753" s="171" t="s">
        <v>14</v>
      </c>
      <c r="O753" s="189"/>
      <c r="P753" s="90">
        <f t="shared" si="55"/>
        <v>1</v>
      </c>
      <c r="Q753" s="557" t="s">
        <v>875</v>
      </c>
      <c r="R753" s="273"/>
      <c r="S753" s="277">
        <v>43242</v>
      </c>
      <c r="T753" s="197"/>
      <c r="V753" s="204"/>
      <c r="W753" s="206"/>
      <c r="X753" s="198"/>
      <c r="Y753" s="198">
        <v>39</v>
      </c>
      <c r="Z753" s="199"/>
      <c r="AA753" s="200"/>
      <c r="AB753" s="191"/>
      <c r="AC753" s="192"/>
    </row>
    <row r="754" spans="1:29" s="92" customFormat="1" ht="20.25" customHeight="1">
      <c r="A754" s="359" t="s">
        <v>71</v>
      </c>
      <c r="B754" s="201"/>
      <c r="C754" s="202" t="str">
        <f>K$2</f>
        <v>10/08/2019</v>
      </c>
      <c r="D754" s="133" t="s">
        <v>842</v>
      </c>
      <c r="E754" s="181" t="s">
        <v>82</v>
      </c>
      <c r="F754" s="320">
        <v>41885</v>
      </c>
      <c r="G754" s="625"/>
      <c r="H754" s="626"/>
      <c r="I754" s="624"/>
      <c r="J754" s="290" t="s">
        <v>79</v>
      </c>
      <c r="K754" s="280" t="s">
        <v>80</v>
      </c>
      <c r="L754" s="133" t="s">
        <v>7</v>
      </c>
      <c r="M754" s="370">
        <v>1</v>
      </c>
      <c r="N754" s="135" t="s">
        <v>18</v>
      </c>
      <c r="O754" s="189"/>
      <c r="P754" s="90">
        <f t="shared" si="55"/>
        <v>1</v>
      </c>
      <c r="Q754" s="557" t="s">
        <v>875</v>
      </c>
      <c r="R754" s="273"/>
      <c r="S754" s="287">
        <v>42003</v>
      </c>
      <c r="T754" s="196"/>
      <c r="U754" s="194"/>
      <c r="V754" s="204"/>
      <c r="W754" s="206"/>
      <c r="X754" s="198"/>
      <c r="Y754" s="198">
        <v>37</v>
      </c>
      <c r="Z754" s="199"/>
      <c r="AA754" s="200"/>
      <c r="AB754" s="191"/>
      <c r="AC754" s="192"/>
    </row>
    <row r="755" spans="1:29" s="53" customFormat="1" ht="20.25" customHeight="1">
      <c r="A755" s="359" t="s">
        <v>71</v>
      </c>
      <c r="B755" s="92"/>
      <c r="C755" s="93" t="str">
        <f>K$2</f>
        <v>10/08/2019</v>
      </c>
      <c r="D755" s="133" t="s">
        <v>842</v>
      </c>
      <c r="E755" s="181" t="s">
        <v>177</v>
      </c>
      <c r="F755" s="320">
        <v>41885</v>
      </c>
      <c r="G755" s="625"/>
      <c r="H755" s="626"/>
      <c r="I755" s="624"/>
      <c r="J755" s="290" t="s">
        <v>178</v>
      </c>
      <c r="K755" s="280" t="s">
        <v>179</v>
      </c>
      <c r="L755" s="133" t="s">
        <v>7</v>
      </c>
      <c r="M755" s="370">
        <v>1</v>
      </c>
      <c r="N755" s="171" t="s">
        <v>18</v>
      </c>
      <c r="O755" s="189"/>
      <c r="P755" s="90">
        <f t="shared" si="55"/>
        <v>1</v>
      </c>
      <c r="Q755" s="557" t="s">
        <v>875</v>
      </c>
      <c r="R755" s="273"/>
      <c r="S755" s="287">
        <v>41999</v>
      </c>
      <c r="T755" s="94"/>
      <c r="U755" s="95"/>
      <c r="V755" s="96"/>
      <c r="W755" s="95"/>
      <c r="X755" s="92"/>
      <c r="Y755" s="97"/>
      <c r="Z755" s="98">
        <v>16560</v>
      </c>
      <c r="AA755" s="92"/>
      <c r="AB755" s="144"/>
      <c r="AC755" s="117"/>
    </row>
    <row r="756" spans="1:29" s="114" customFormat="1" ht="21" customHeight="1">
      <c r="A756" s="359" t="s">
        <v>20</v>
      </c>
      <c r="B756" s="53"/>
      <c r="C756" s="84"/>
      <c r="D756" s="169" t="s">
        <v>453</v>
      </c>
      <c r="E756" s="181" t="s">
        <v>432</v>
      </c>
      <c r="F756" s="323">
        <v>42564</v>
      </c>
      <c r="G756" s="627"/>
      <c r="H756" s="631"/>
      <c r="I756" s="624"/>
      <c r="J756" s="125" t="s">
        <v>322</v>
      </c>
      <c r="K756" s="125" t="s">
        <v>323</v>
      </c>
      <c r="L756" s="125" t="s">
        <v>433</v>
      </c>
      <c r="M756" s="368">
        <v>1</v>
      </c>
      <c r="N756" s="127" t="s">
        <v>17</v>
      </c>
      <c r="O756" s="189"/>
      <c r="P756" s="90">
        <f t="shared" si="55"/>
        <v>1</v>
      </c>
      <c r="Q756" s="557" t="s">
        <v>875</v>
      </c>
      <c r="R756" s="273"/>
      <c r="S756" s="281"/>
      <c r="T756" s="54"/>
      <c r="U756" s="73"/>
      <c r="V756" s="74"/>
      <c r="W756" s="73"/>
      <c r="X756" s="66"/>
      <c r="Y756" s="66"/>
      <c r="Z756" s="67">
        <v>2500</v>
      </c>
      <c r="AA756" s="68"/>
      <c r="AB756" s="144"/>
      <c r="AC756" s="117"/>
    </row>
    <row r="757" spans="1:29" s="106" customFormat="1" ht="20.25" customHeight="1">
      <c r="A757" s="359" t="s">
        <v>20</v>
      </c>
      <c r="B757" s="107"/>
      <c r="C757" s="108"/>
      <c r="D757" s="123" t="s">
        <v>507</v>
      </c>
      <c r="E757" s="124" t="s">
        <v>486</v>
      </c>
      <c r="F757" s="323">
        <v>42835</v>
      </c>
      <c r="G757" s="627"/>
      <c r="H757" s="631"/>
      <c r="I757" s="624"/>
      <c r="J757" s="125" t="s">
        <v>136</v>
      </c>
      <c r="K757" s="125" t="s">
        <v>645</v>
      </c>
      <c r="L757" s="125" t="s">
        <v>1180</v>
      </c>
      <c r="M757" s="368">
        <v>5</v>
      </c>
      <c r="N757" s="127" t="s">
        <v>17</v>
      </c>
      <c r="O757" s="180"/>
      <c r="P757" s="90">
        <f t="shared" si="55"/>
        <v>5</v>
      </c>
      <c r="Q757" s="557" t="s">
        <v>875</v>
      </c>
      <c r="R757" s="273"/>
      <c r="S757" s="281">
        <v>43313</v>
      </c>
      <c r="T757" s="94"/>
      <c r="U757" s="109"/>
      <c r="V757" s="110"/>
      <c r="W757" s="109"/>
      <c r="X757" s="111"/>
      <c r="Y757" s="111" t="s">
        <v>601</v>
      </c>
      <c r="Z757" s="112"/>
      <c r="AA757" s="113"/>
      <c r="AB757" s="144"/>
      <c r="AC757" s="117"/>
    </row>
    <row r="758" spans="1:29" s="1" customFormat="1" ht="20.25" customHeight="1">
      <c r="A758" s="359" t="s">
        <v>20</v>
      </c>
      <c r="B758" s="101"/>
      <c r="C758" s="93" t="str">
        <f>K$2</f>
        <v>10/08/2019</v>
      </c>
      <c r="D758" s="123" t="s">
        <v>507</v>
      </c>
      <c r="E758" s="124" t="s">
        <v>54</v>
      </c>
      <c r="F758" s="323">
        <v>42782</v>
      </c>
      <c r="G758" s="627"/>
      <c r="H758" s="631"/>
      <c r="I758" s="624"/>
      <c r="J758" s="125" t="s">
        <v>55</v>
      </c>
      <c r="K758" s="125" t="s">
        <v>56</v>
      </c>
      <c r="L758" s="125" t="s">
        <v>1165</v>
      </c>
      <c r="M758" s="368">
        <v>0.75</v>
      </c>
      <c r="N758" s="127" t="s">
        <v>17</v>
      </c>
      <c r="O758" s="180"/>
      <c r="P758" s="90">
        <f t="shared" si="55"/>
        <v>0.75</v>
      </c>
      <c r="Q758" s="557" t="s">
        <v>875</v>
      </c>
      <c r="R758" s="273"/>
      <c r="S758" s="282">
        <v>43094</v>
      </c>
      <c r="T758" s="95"/>
      <c r="U758" s="92"/>
      <c r="V758" s="102"/>
      <c r="W758" s="103"/>
      <c r="X758" s="104"/>
      <c r="Y758" s="104"/>
      <c r="Z758" s="98">
        <v>1200</v>
      </c>
      <c r="AA758" s="105"/>
      <c r="AB758" s="144"/>
      <c r="AC758" s="117"/>
    </row>
    <row r="759" spans="1:29" s="1" customFormat="1" ht="20.25" customHeight="1">
      <c r="A759" s="359" t="s">
        <v>20</v>
      </c>
      <c r="B759" s="10"/>
      <c r="C759" s="10"/>
      <c r="D759" s="169" t="s">
        <v>470</v>
      </c>
      <c r="E759" s="181" t="s">
        <v>329</v>
      </c>
      <c r="F759" s="320">
        <v>42269</v>
      </c>
      <c r="G759" s="625"/>
      <c r="H759" s="626"/>
      <c r="I759" s="624"/>
      <c r="J759" s="290" t="s">
        <v>395</v>
      </c>
      <c r="K759" s="280" t="s">
        <v>815</v>
      </c>
      <c r="L759" s="133" t="s">
        <v>309</v>
      </c>
      <c r="M759" s="370">
        <v>12.3</v>
      </c>
      <c r="N759" s="177" t="s">
        <v>17</v>
      </c>
      <c r="O759" s="180"/>
      <c r="P759" s="90">
        <f t="shared" si="55"/>
        <v>12.3</v>
      </c>
      <c r="Q759" s="557" t="s">
        <v>875</v>
      </c>
      <c r="R759" s="273"/>
      <c r="S759" s="277">
        <v>43296</v>
      </c>
      <c r="T759" s="20"/>
      <c r="V759" s="28">
        <v>46.2</v>
      </c>
      <c r="W759" s="49"/>
      <c r="X759" s="63"/>
      <c r="Y759" s="63"/>
      <c r="Z759" s="64"/>
      <c r="AA759" s="65"/>
      <c r="AB759" s="144"/>
      <c r="AC759" s="117"/>
    </row>
    <row r="760" spans="1:29" s="1" customFormat="1" ht="20.25" customHeight="1">
      <c r="A760" s="359" t="s">
        <v>20</v>
      </c>
      <c r="B760" s="10"/>
      <c r="C760" s="10"/>
      <c r="D760" s="169" t="s">
        <v>115</v>
      </c>
      <c r="E760" s="181" t="s">
        <v>105</v>
      </c>
      <c r="F760" s="320">
        <v>41627</v>
      </c>
      <c r="G760" s="625"/>
      <c r="H760" s="626"/>
      <c r="I760" s="624"/>
      <c r="J760" s="290" t="s">
        <v>95</v>
      </c>
      <c r="K760" s="280" t="s">
        <v>96</v>
      </c>
      <c r="L760" s="133" t="s">
        <v>97</v>
      </c>
      <c r="M760" s="370">
        <v>2</v>
      </c>
      <c r="N760" s="135" t="s">
        <v>45</v>
      </c>
      <c r="O760" s="209"/>
      <c r="P760" s="210">
        <f t="shared" si="55"/>
        <v>2</v>
      </c>
      <c r="Q760" s="557" t="s">
        <v>875</v>
      </c>
      <c r="R760" s="533" t="s">
        <v>889</v>
      </c>
      <c r="S760" s="300">
        <v>41791</v>
      </c>
      <c r="T760" s="11"/>
      <c r="U760"/>
      <c r="V760" s="28"/>
      <c r="W760" s="49"/>
      <c r="X760" s="63"/>
      <c r="Y760" s="63"/>
      <c r="Z760" s="64"/>
      <c r="AA760" s="65"/>
      <c r="AB760" s="144"/>
      <c r="AC760" s="117"/>
    </row>
    <row r="761" spans="1:29" s="1" customFormat="1" ht="20.25" customHeight="1">
      <c r="A761" s="359" t="s">
        <v>20</v>
      </c>
      <c r="B761" s="8"/>
      <c r="C761" s="8"/>
      <c r="D761" s="169" t="s">
        <v>196</v>
      </c>
      <c r="E761" s="181" t="s">
        <v>160</v>
      </c>
      <c r="F761" s="320">
        <v>41954</v>
      </c>
      <c r="G761" s="625"/>
      <c r="H761" s="626"/>
      <c r="I761" s="624"/>
      <c r="J761" s="290" t="s">
        <v>171</v>
      </c>
      <c r="K761" s="280" t="s">
        <v>161</v>
      </c>
      <c r="L761" s="133" t="s">
        <v>1172</v>
      </c>
      <c r="M761" s="370">
        <v>9</v>
      </c>
      <c r="N761" s="171" t="s">
        <v>1160</v>
      </c>
      <c r="O761" s="209"/>
      <c r="P761" s="210">
        <f t="shared" si="55"/>
        <v>9</v>
      </c>
      <c r="Q761" s="557" t="s">
        <v>875</v>
      </c>
      <c r="R761" s="533" t="s">
        <v>888</v>
      </c>
      <c r="S761" s="300" t="s">
        <v>168</v>
      </c>
      <c r="T761" s="35"/>
      <c r="V761" s="32">
        <v>22.3</v>
      </c>
      <c r="W761" s="33"/>
      <c r="X761" s="63"/>
      <c r="Y761" s="63"/>
      <c r="Z761" s="64"/>
      <c r="AA761" s="65"/>
      <c r="AB761" s="144"/>
      <c r="AC761" s="117"/>
    </row>
    <row r="762" spans="1:29" s="1" customFormat="1" ht="20.25" customHeight="1">
      <c r="A762" s="359" t="s">
        <v>20</v>
      </c>
      <c r="B762"/>
      <c r="C762"/>
      <c r="D762" s="169" t="s">
        <v>130</v>
      </c>
      <c r="E762" s="170" t="s">
        <v>93</v>
      </c>
      <c r="F762" s="310">
        <v>41954</v>
      </c>
      <c r="G762" s="635"/>
      <c r="H762" s="636"/>
      <c r="I762" s="624"/>
      <c r="J762" s="363" t="s">
        <v>90</v>
      </c>
      <c r="K762" s="280" t="s">
        <v>91</v>
      </c>
      <c r="L762" s="133" t="s">
        <v>92</v>
      </c>
      <c r="M762" s="368">
        <v>8</v>
      </c>
      <c r="N762" s="171" t="s">
        <v>1134</v>
      </c>
      <c r="O762" s="211"/>
      <c r="P762" s="212">
        <f t="shared" si="55"/>
        <v>8</v>
      </c>
      <c r="Q762" s="557" t="s">
        <v>875</v>
      </c>
      <c r="R762" s="533" t="s">
        <v>890</v>
      </c>
      <c r="S762" s="301">
        <v>42261</v>
      </c>
      <c r="T762" s="11"/>
      <c r="V762" s="28">
        <v>22.3</v>
      </c>
      <c r="W762" s="49"/>
      <c r="X762" s="63"/>
      <c r="Y762" s="63"/>
      <c r="Z762" s="64"/>
      <c r="AA762" s="65"/>
      <c r="AB762" s="144"/>
      <c r="AC762" s="117"/>
    </row>
    <row r="763" spans="1:29" s="1" customFormat="1" ht="20.25" customHeight="1">
      <c r="A763" s="359" t="s">
        <v>71</v>
      </c>
      <c r="B763" s="10"/>
      <c r="C763" s="10"/>
      <c r="D763" s="169" t="s">
        <v>195</v>
      </c>
      <c r="E763" s="181" t="s">
        <v>93</v>
      </c>
      <c r="F763" s="320">
        <v>41954</v>
      </c>
      <c r="G763" s="625"/>
      <c r="H763" s="626"/>
      <c r="I763" s="624"/>
      <c r="J763" s="290" t="s">
        <v>90</v>
      </c>
      <c r="K763" s="280" t="s">
        <v>91</v>
      </c>
      <c r="L763" s="133" t="s">
        <v>92</v>
      </c>
      <c r="M763" s="370">
        <v>1</v>
      </c>
      <c r="N763" s="135" t="s">
        <v>1134</v>
      </c>
      <c r="O763" s="208"/>
      <c r="P763" s="210">
        <f t="shared" si="55"/>
        <v>1</v>
      </c>
      <c r="Q763" s="557" t="s">
        <v>875</v>
      </c>
      <c r="R763" s="533" t="s">
        <v>884</v>
      </c>
      <c r="S763" s="300">
        <v>42261</v>
      </c>
      <c r="T763" s="11"/>
      <c r="U763"/>
      <c r="V763" s="28"/>
      <c r="W763" s="49"/>
      <c r="X763" s="63"/>
      <c r="Y763" s="63"/>
      <c r="Z763" s="64"/>
      <c r="AA763" s="65"/>
      <c r="AB763" s="144"/>
      <c r="AC763" s="117"/>
    </row>
    <row r="764" spans="1:29" s="1" customFormat="1" ht="20.25" customHeight="1">
      <c r="A764" s="377" t="s">
        <v>71</v>
      </c>
      <c r="B764"/>
      <c r="C764"/>
      <c r="D764" s="169" t="s">
        <v>191</v>
      </c>
      <c r="E764" s="181" t="s">
        <v>184</v>
      </c>
      <c r="F764" s="320">
        <v>41985</v>
      </c>
      <c r="G764" s="625"/>
      <c r="H764" s="626"/>
      <c r="I764" s="624"/>
      <c r="J764" s="290" t="s">
        <v>185</v>
      </c>
      <c r="K764" s="280" t="s">
        <v>186</v>
      </c>
      <c r="L764" s="133" t="s">
        <v>7</v>
      </c>
      <c r="M764" s="370">
        <v>11</v>
      </c>
      <c r="N764" s="135" t="s">
        <v>45</v>
      </c>
      <c r="O764" s="208"/>
      <c r="P764" s="210">
        <f t="shared" si="55"/>
        <v>11</v>
      </c>
      <c r="Q764" s="557" t="s">
        <v>875</v>
      </c>
      <c r="R764" s="533" t="s">
        <v>885</v>
      </c>
      <c r="S764" s="300">
        <v>42319</v>
      </c>
      <c r="T764" s="11"/>
      <c r="V764" s="28"/>
      <c r="W764" s="49"/>
      <c r="X764" s="63"/>
      <c r="Y764" s="63"/>
      <c r="Z764" s="64"/>
      <c r="AA764" s="65"/>
      <c r="AB764" s="144"/>
      <c r="AC764" s="117"/>
    </row>
    <row r="765" spans="1:29" s="1" customFormat="1" ht="20.25" customHeight="1">
      <c r="A765" s="359" t="s">
        <v>66</v>
      </c>
      <c r="B765"/>
      <c r="C765"/>
      <c r="D765" s="169" t="s">
        <v>203</v>
      </c>
      <c r="E765" s="181" t="s">
        <v>200</v>
      </c>
      <c r="F765" s="320">
        <v>42048</v>
      </c>
      <c r="G765" s="625"/>
      <c r="H765" s="626"/>
      <c r="I765" s="624"/>
      <c r="J765" s="290" t="s">
        <v>201</v>
      </c>
      <c r="K765" s="280" t="s">
        <v>202</v>
      </c>
      <c r="L765" s="133" t="s">
        <v>81</v>
      </c>
      <c r="M765" s="370">
        <v>1</v>
      </c>
      <c r="N765" s="135" t="s">
        <v>18</v>
      </c>
      <c r="O765" s="208"/>
      <c r="P765" s="210">
        <f t="shared" si="55"/>
        <v>1</v>
      </c>
      <c r="Q765" s="557" t="s">
        <v>875</v>
      </c>
      <c r="R765" s="533" t="s">
        <v>884</v>
      </c>
      <c r="S765" s="300">
        <v>42356</v>
      </c>
      <c r="T765" s="11"/>
      <c r="V765" s="28"/>
      <c r="W765" s="739"/>
      <c r="X765" s="63"/>
      <c r="Y765" s="63"/>
      <c r="Z765" s="64"/>
      <c r="AA765" s="65"/>
      <c r="AB765" s="144"/>
      <c r="AC765" s="117"/>
    </row>
    <row r="766" spans="1:29" s="45" customFormat="1" ht="20.25" customHeight="1">
      <c r="A766" s="359" t="s">
        <v>52</v>
      </c>
      <c r="B766"/>
      <c r="C766"/>
      <c r="D766" s="169" t="s">
        <v>192</v>
      </c>
      <c r="E766" s="181" t="s">
        <v>183</v>
      </c>
      <c r="F766" s="320">
        <v>42013</v>
      </c>
      <c r="G766" s="625"/>
      <c r="H766" s="626"/>
      <c r="I766" s="624"/>
      <c r="J766" s="290" t="s">
        <v>181</v>
      </c>
      <c r="K766" s="280" t="s">
        <v>182</v>
      </c>
      <c r="L766" s="133" t="s">
        <v>1188</v>
      </c>
      <c r="M766" s="370">
        <v>6</v>
      </c>
      <c r="N766" s="135" t="s">
        <v>17</v>
      </c>
      <c r="O766" s="208"/>
      <c r="P766" s="210">
        <f t="shared" si="55"/>
        <v>6</v>
      </c>
      <c r="Q766" s="557" t="s">
        <v>875</v>
      </c>
      <c r="R766" s="533" t="s">
        <v>887</v>
      </c>
      <c r="S766" s="301">
        <v>42491</v>
      </c>
      <c r="T766" s="11"/>
      <c r="U766" s="1"/>
      <c r="V766" s="28">
        <v>84</v>
      </c>
      <c r="W766" s="49" t="s">
        <v>143</v>
      </c>
      <c r="X766" s="63"/>
      <c r="Y766" s="63"/>
      <c r="Z766" s="64"/>
      <c r="AA766" s="65"/>
      <c r="AB766" s="144"/>
      <c r="AC766" s="117"/>
    </row>
    <row r="767" spans="1:29" s="1" customFormat="1" ht="20.25" customHeight="1">
      <c r="A767" s="359" t="s">
        <v>28</v>
      </c>
      <c r="B767"/>
      <c r="C767"/>
      <c r="D767" s="169" t="s">
        <v>87</v>
      </c>
      <c r="E767" s="181" t="s">
        <v>103</v>
      </c>
      <c r="F767" s="320">
        <v>41933</v>
      </c>
      <c r="G767" s="625"/>
      <c r="H767" s="626"/>
      <c r="I767" s="624"/>
      <c r="J767" s="290" t="s">
        <v>104</v>
      </c>
      <c r="K767" s="280" t="s">
        <v>67</v>
      </c>
      <c r="L767" s="133" t="s">
        <v>1176</v>
      </c>
      <c r="M767" s="370">
        <v>1</v>
      </c>
      <c r="N767" s="135" t="s">
        <v>18</v>
      </c>
      <c r="O767" s="208"/>
      <c r="P767" s="210">
        <f t="shared" si="55"/>
        <v>1</v>
      </c>
      <c r="Q767" s="557" t="s">
        <v>875</v>
      </c>
      <c r="R767" s="533" t="s">
        <v>1412</v>
      </c>
      <c r="S767" s="300" t="s">
        <v>168</v>
      </c>
      <c r="T767" s="11"/>
      <c r="V767" s="28"/>
      <c r="W767" s="49"/>
      <c r="X767" s="60"/>
      <c r="Y767" s="60"/>
      <c r="Z767" s="61"/>
      <c r="AA767" s="62"/>
      <c r="AB767" s="146"/>
      <c r="AC767" s="118"/>
    </row>
    <row r="768" spans="1:29" s="1" customFormat="1" ht="20.25" customHeight="1">
      <c r="A768" s="359" t="s">
        <v>20</v>
      </c>
      <c r="B768"/>
      <c r="C768"/>
      <c r="D768" s="169" t="s">
        <v>69</v>
      </c>
      <c r="E768" s="181" t="s">
        <v>149</v>
      </c>
      <c r="F768" s="320"/>
      <c r="G768" s="625"/>
      <c r="H768" s="626"/>
      <c r="I768" s="624"/>
      <c r="J768" s="290" t="s">
        <v>147</v>
      </c>
      <c r="K768" s="280" t="s">
        <v>148</v>
      </c>
      <c r="L768" s="133" t="s">
        <v>1172</v>
      </c>
      <c r="M768" s="370">
        <v>7</v>
      </c>
      <c r="N768" s="135" t="s">
        <v>1160</v>
      </c>
      <c r="O768" s="208"/>
      <c r="P768" s="210">
        <f t="shared" si="55"/>
        <v>7</v>
      </c>
      <c r="Q768" s="557" t="s">
        <v>875</v>
      </c>
      <c r="R768" s="533" t="s">
        <v>893</v>
      </c>
      <c r="S768" s="300" t="s">
        <v>168</v>
      </c>
      <c r="T768" s="11"/>
      <c r="V768" s="28">
        <v>84</v>
      </c>
      <c r="W768" s="49" t="s">
        <v>143</v>
      </c>
      <c r="X768" s="63"/>
      <c r="Y768" s="63"/>
      <c r="Z768" s="64"/>
      <c r="AA768" s="65"/>
      <c r="AB768" s="144"/>
      <c r="AC768" s="117"/>
    </row>
    <row r="769" spans="1:29" s="45" customFormat="1" ht="20.25" customHeight="1">
      <c r="A769" s="359" t="s">
        <v>20</v>
      </c>
      <c r="B769" s="8"/>
      <c r="C769" s="8"/>
      <c r="D769" s="169" t="s">
        <v>69</v>
      </c>
      <c r="E769" s="181" t="s">
        <v>109</v>
      </c>
      <c r="F769" s="320">
        <v>41730</v>
      </c>
      <c r="G769" s="625"/>
      <c r="H769" s="626"/>
      <c r="I769" s="624"/>
      <c r="J769" s="290" t="s">
        <v>110</v>
      </c>
      <c r="K769" s="280" t="s">
        <v>111</v>
      </c>
      <c r="L769" s="133" t="s">
        <v>1173</v>
      </c>
      <c r="M769" s="370">
        <v>1</v>
      </c>
      <c r="N769" s="135" t="s">
        <v>17</v>
      </c>
      <c r="O769" s="208"/>
      <c r="P769" s="210">
        <f t="shared" si="55"/>
        <v>1</v>
      </c>
      <c r="Q769" s="557" t="s">
        <v>875</v>
      </c>
      <c r="R769" s="533" t="s">
        <v>884</v>
      </c>
      <c r="S769" s="300" t="s">
        <v>168</v>
      </c>
      <c r="T769" s="35"/>
      <c r="U769" s="1"/>
      <c r="V769" s="32"/>
      <c r="W769" s="33"/>
      <c r="X769" s="63"/>
      <c r="Y769" s="63"/>
      <c r="Z769" s="64"/>
      <c r="AA769" s="65"/>
      <c r="AB769" s="144"/>
      <c r="AC769" s="117"/>
    </row>
    <row r="770" spans="1:29" ht="20.25" customHeight="1">
      <c r="A770" s="359" t="s">
        <v>66</v>
      </c>
      <c r="D770" s="169" t="s">
        <v>155</v>
      </c>
      <c r="E770" s="170" t="s">
        <v>54</v>
      </c>
      <c r="F770" s="310">
        <v>42095</v>
      </c>
      <c r="G770" s="635"/>
      <c r="H770" s="636"/>
      <c r="I770" s="624"/>
      <c r="J770" s="363" t="s">
        <v>55</v>
      </c>
      <c r="K770" s="280" t="s">
        <v>56</v>
      </c>
      <c r="L770" s="133" t="s">
        <v>1165</v>
      </c>
      <c r="M770" s="368">
        <v>1</v>
      </c>
      <c r="N770" s="171" t="s">
        <v>17</v>
      </c>
      <c r="O770" s="211"/>
      <c r="P770" s="212">
        <f t="shared" si="55"/>
        <v>1</v>
      </c>
      <c r="Q770" s="557" t="s">
        <v>875</v>
      </c>
      <c r="R770" s="533" t="s">
        <v>884</v>
      </c>
      <c r="S770" s="301">
        <v>42418</v>
      </c>
      <c r="T770" s="27"/>
      <c r="U770" s="1"/>
      <c r="V770" s="30"/>
      <c r="W770" s="31"/>
      <c r="X770" s="60"/>
      <c r="Y770" s="60"/>
      <c r="Z770" s="61"/>
      <c r="AA770" s="62"/>
      <c r="AB770" s="146"/>
      <c r="AC770" s="118"/>
    </row>
    <row r="771" spans="1:29" s="1" customFormat="1" ht="20.25" customHeight="1">
      <c r="A771" s="359" t="s">
        <v>66</v>
      </c>
      <c r="B771"/>
      <c r="C771"/>
      <c r="D771" s="169" t="s">
        <v>102</v>
      </c>
      <c r="E771" s="181" t="s">
        <v>200</v>
      </c>
      <c r="F771" s="320"/>
      <c r="G771" s="625"/>
      <c r="H771" s="626"/>
      <c r="I771" s="624"/>
      <c r="J771" s="290" t="s">
        <v>201</v>
      </c>
      <c r="K771" s="280" t="s">
        <v>222</v>
      </c>
      <c r="L771" s="133" t="s">
        <v>81</v>
      </c>
      <c r="M771" s="370">
        <v>1</v>
      </c>
      <c r="N771" s="135" t="s">
        <v>17</v>
      </c>
      <c r="O771" s="208"/>
      <c r="P771" s="212">
        <f t="shared" si="55"/>
        <v>1</v>
      </c>
      <c r="Q771" s="557" t="s">
        <v>875</v>
      </c>
      <c r="R771" s="533" t="s">
        <v>884</v>
      </c>
      <c r="S771" s="301">
        <v>42355</v>
      </c>
      <c r="T771" s="27"/>
      <c r="V771" s="30"/>
      <c r="W771" s="30"/>
      <c r="X771" s="63"/>
      <c r="Y771" s="63"/>
      <c r="Z771" s="64"/>
      <c r="AA771" s="65"/>
      <c r="AB771" s="143"/>
      <c r="AC771" s="115"/>
    </row>
    <row r="772" spans="1:29" s="45" customFormat="1" ht="20.25" customHeight="1">
      <c r="A772" s="359" t="s">
        <v>20</v>
      </c>
      <c r="B772"/>
      <c r="C772"/>
      <c r="D772" s="169" t="s">
        <v>174</v>
      </c>
      <c r="E772" s="181" t="s">
        <v>249</v>
      </c>
      <c r="F772" s="320">
        <v>42156</v>
      </c>
      <c r="G772" s="625"/>
      <c r="H772" s="626"/>
      <c r="I772" s="624"/>
      <c r="J772" s="290" t="s">
        <v>250</v>
      </c>
      <c r="K772" s="280" t="s">
        <v>251</v>
      </c>
      <c r="L772" s="133" t="s">
        <v>252</v>
      </c>
      <c r="M772" s="370">
        <v>1</v>
      </c>
      <c r="N772" s="135" t="s">
        <v>17</v>
      </c>
      <c r="O772" s="208"/>
      <c r="P772" s="212">
        <f t="shared" si="55"/>
        <v>1</v>
      </c>
      <c r="Q772" s="557" t="s">
        <v>875</v>
      </c>
      <c r="R772" s="533" t="s">
        <v>884</v>
      </c>
      <c r="S772" s="301"/>
      <c r="T772" s="27"/>
      <c r="U772" s="1"/>
      <c r="V772" s="30"/>
      <c r="W772" s="31"/>
      <c r="X772" s="63"/>
      <c r="Y772" s="63"/>
      <c r="Z772" s="64"/>
      <c r="AA772" s="65"/>
      <c r="AB772" s="144"/>
      <c r="AC772" s="117"/>
    </row>
    <row r="773" spans="1:29" s="53" customFormat="1" ht="20.25" customHeight="1">
      <c r="A773" s="359" t="s">
        <v>28</v>
      </c>
      <c r="B773" s="8"/>
      <c r="C773" s="8"/>
      <c r="D773" s="169" t="s">
        <v>213</v>
      </c>
      <c r="E773" s="181" t="s">
        <v>132</v>
      </c>
      <c r="F773" s="320">
        <v>42156</v>
      </c>
      <c r="G773" s="625"/>
      <c r="H773" s="626"/>
      <c r="I773" s="624"/>
      <c r="J773" s="290" t="s">
        <v>133</v>
      </c>
      <c r="K773" s="280" t="s">
        <v>134</v>
      </c>
      <c r="L773" s="133" t="s">
        <v>204</v>
      </c>
      <c r="M773" s="370">
        <v>10</v>
      </c>
      <c r="N773" s="135" t="s">
        <v>1134</v>
      </c>
      <c r="O773" s="208"/>
      <c r="P773" s="212">
        <f t="shared" si="55"/>
        <v>10</v>
      </c>
      <c r="Q773" s="557" t="s">
        <v>875</v>
      </c>
      <c r="R773" s="533" t="s">
        <v>892</v>
      </c>
      <c r="S773" s="301">
        <v>42482</v>
      </c>
      <c r="T773" s="35"/>
      <c r="U773" s="1"/>
      <c r="V773" s="32"/>
      <c r="W773" s="33"/>
      <c r="X773" s="60"/>
      <c r="Y773" s="60"/>
      <c r="Z773" s="61"/>
      <c r="AA773" s="62"/>
      <c r="AB773" s="146"/>
      <c r="AC773" s="118"/>
    </row>
    <row r="774" spans="1:29" s="1" customFormat="1" ht="20.25" customHeight="1">
      <c r="A774" s="359" t="s">
        <v>28</v>
      </c>
      <c r="B774" s="53"/>
      <c r="C774" s="53"/>
      <c r="D774" s="169" t="s">
        <v>76</v>
      </c>
      <c r="E774" s="170" t="s">
        <v>127</v>
      </c>
      <c r="F774" s="310" t="s">
        <v>126</v>
      </c>
      <c r="G774" s="635"/>
      <c r="H774" s="636"/>
      <c r="I774" s="624"/>
      <c r="J774" s="363" t="s">
        <v>32</v>
      </c>
      <c r="K774" s="280" t="s">
        <v>128</v>
      </c>
      <c r="L774" s="133" t="s">
        <v>1166</v>
      </c>
      <c r="M774" s="368">
        <v>2</v>
      </c>
      <c r="N774" s="171" t="s">
        <v>17</v>
      </c>
      <c r="O774" s="211"/>
      <c r="P774" s="212">
        <f t="shared" si="55"/>
        <v>2</v>
      </c>
      <c r="Q774" s="557" t="s">
        <v>875</v>
      </c>
      <c r="R774" s="533" t="s">
        <v>889</v>
      </c>
      <c r="S774" s="301" t="s">
        <v>168</v>
      </c>
      <c r="T774" s="54"/>
      <c r="U774" s="53"/>
      <c r="V774" s="55"/>
      <c r="W774" s="56"/>
      <c r="X774" s="66"/>
      <c r="Y774" s="66"/>
      <c r="Z774" s="67"/>
      <c r="AA774" s="68"/>
      <c r="AB774" s="147"/>
      <c r="AC774" s="119"/>
    </row>
    <row r="775" spans="1:29" s="1" customFormat="1" ht="20.25" customHeight="1">
      <c r="A775" s="359" t="s">
        <v>28</v>
      </c>
      <c r="B775" s="8"/>
      <c r="C775" s="8"/>
      <c r="D775" s="169" t="s">
        <v>349</v>
      </c>
      <c r="E775" s="181" t="s">
        <v>241</v>
      </c>
      <c r="F775" s="320">
        <v>42345</v>
      </c>
      <c r="G775" s="625"/>
      <c r="H775" s="626"/>
      <c r="I775" s="624"/>
      <c r="J775" s="290" t="s">
        <v>239</v>
      </c>
      <c r="K775" s="280" t="s">
        <v>355</v>
      </c>
      <c r="L775" s="133" t="s">
        <v>242</v>
      </c>
      <c r="M775" s="370">
        <v>3.57</v>
      </c>
      <c r="N775" s="135" t="s">
        <v>17</v>
      </c>
      <c r="O775" s="208"/>
      <c r="P775" s="212">
        <f t="shared" si="55"/>
        <v>3.57</v>
      </c>
      <c r="Q775" s="557" t="s">
        <v>875</v>
      </c>
      <c r="R775" s="533" t="s">
        <v>883</v>
      </c>
      <c r="S775" s="301">
        <v>42665</v>
      </c>
      <c r="T775" s="35"/>
      <c r="V775" s="32" t="s">
        <v>165</v>
      </c>
      <c r="W775" s="33"/>
      <c r="X775" s="63"/>
      <c r="Y775" s="63"/>
      <c r="Z775" s="64"/>
      <c r="AA775" s="65"/>
      <c r="AB775" s="144"/>
      <c r="AC775" s="117"/>
    </row>
    <row r="776" spans="1:29" s="53" customFormat="1" ht="20.25" customHeight="1">
      <c r="A776" s="359" t="s">
        <v>20</v>
      </c>
      <c r="C776" s="76" t="str">
        <f>K$2</f>
        <v>10/08/2019</v>
      </c>
      <c r="D776" s="169" t="s">
        <v>139</v>
      </c>
      <c r="E776" s="181" t="s">
        <v>411</v>
      </c>
      <c r="F776" s="320">
        <v>41977</v>
      </c>
      <c r="G776" s="625"/>
      <c r="H776" s="626"/>
      <c r="I776" s="624"/>
      <c r="J776" s="290" t="s">
        <v>412</v>
      </c>
      <c r="K776" s="280" t="s">
        <v>189</v>
      </c>
      <c r="L776" s="133" t="s">
        <v>1183</v>
      </c>
      <c r="M776" s="370">
        <v>0.95000000000000018</v>
      </c>
      <c r="N776" s="135" t="s">
        <v>1160</v>
      </c>
      <c r="O776" s="211"/>
      <c r="P776" s="212">
        <f t="shared" si="55"/>
        <v>0.95000000000000018</v>
      </c>
      <c r="Q776" s="557" t="s">
        <v>875</v>
      </c>
      <c r="R776" s="533"/>
      <c r="S776" s="301" t="s">
        <v>168</v>
      </c>
      <c r="T776" s="72"/>
      <c r="U776" s="73"/>
      <c r="V776" s="74"/>
      <c r="W776" s="73"/>
      <c r="Y776" s="75"/>
      <c r="Z776" s="64">
        <v>1600</v>
      </c>
      <c r="AB776" s="147"/>
      <c r="AC776" s="119"/>
    </row>
    <row r="777" spans="1:29" s="53" customFormat="1" ht="20.25" customHeight="1">
      <c r="A777" s="359" t="s">
        <v>20</v>
      </c>
      <c r="C777" s="76" t="str">
        <f>K$2</f>
        <v>10/08/2019</v>
      </c>
      <c r="D777" s="169" t="s">
        <v>465</v>
      </c>
      <c r="E777" s="181" t="s">
        <v>93</v>
      </c>
      <c r="F777" s="320">
        <v>42564</v>
      </c>
      <c r="G777" s="625"/>
      <c r="H777" s="626"/>
      <c r="I777" s="624"/>
      <c r="J777" s="290" t="s">
        <v>90</v>
      </c>
      <c r="K777" s="280" t="s">
        <v>91</v>
      </c>
      <c r="L777" s="133" t="s">
        <v>92</v>
      </c>
      <c r="M777" s="370">
        <v>4</v>
      </c>
      <c r="N777" s="135" t="s">
        <v>14</v>
      </c>
      <c r="O777" s="208"/>
      <c r="P777" s="212">
        <f t="shared" si="55"/>
        <v>4</v>
      </c>
      <c r="Q777" s="557" t="s">
        <v>875</v>
      </c>
      <c r="R777" s="533" t="s">
        <v>891</v>
      </c>
      <c r="S777" s="301">
        <v>42894</v>
      </c>
      <c r="T777" s="54"/>
      <c r="U777" s="73"/>
      <c r="V777" s="74"/>
      <c r="W777" s="73"/>
      <c r="X777" s="66"/>
      <c r="Y777" s="66"/>
      <c r="Z777" s="67">
        <v>6800</v>
      </c>
      <c r="AA777" s="68"/>
      <c r="AB777" s="147"/>
      <c r="AC777" s="119"/>
    </row>
    <row r="778" spans="1:29" s="45" customFormat="1" ht="20.25" customHeight="1">
      <c r="A778" s="359" t="s">
        <v>20</v>
      </c>
      <c r="B778" s="53"/>
      <c r="C778" s="76" t="str">
        <f>K$2</f>
        <v>10/08/2019</v>
      </c>
      <c r="D778" s="133" t="s">
        <v>404</v>
      </c>
      <c r="E778" s="181" t="s">
        <v>310</v>
      </c>
      <c r="F778" s="320">
        <v>42382</v>
      </c>
      <c r="G778" s="625"/>
      <c r="H778" s="626"/>
      <c r="I778" s="624"/>
      <c r="J778" s="290" t="s">
        <v>311</v>
      </c>
      <c r="K778" s="280" t="s">
        <v>312</v>
      </c>
      <c r="L778" s="133" t="s">
        <v>1162</v>
      </c>
      <c r="M778" s="370">
        <v>3</v>
      </c>
      <c r="N778" s="135" t="s">
        <v>17</v>
      </c>
      <c r="O778" s="213"/>
      <c r="P778" s="212">
        <f t="shared" si="55"/>
        <v>3</v>
      </c>
      <c r="Q778" s="557" t="s">
        <v>875</v>
      </c>
      <c r="R778" s="533" t="s">
        <v>883</v>
      </c>
      <c r="S778" s="301">
        <v>42850</v>
      </c>
      <c r="T778" s="72"/>
      <c r="U778" s="73"/>
      <c r="V778" s="74"/>
      <c r="W778" s="73"/>
      <c r="X778" s="78"/>
      <c r="Y778" s="75"/>
      <c r="Z778" s="64">
        <v>6800</v>
      </c>
      <c r="AA778" s="53"/>
      <c r="AB778" s="147"/>
      <c r="AC778" s="119"/>
    </row>
    <row r="779" spans="1:29" s="1" customFormat="1" ht="20.25" customHeight="1">
      <c r="A779" s="359" t="s">
        <v>28</v>
      </c>
      <c r="B779" s="58"/>
      <c r="C779" s="76" t="str">
        <f>K$2</f>
        <v>10/08/2019</v>
      </c>
      <c r="D779" s="169" t="s">
        <v>475</v>
      </c>
      <c r="E779" s="181" t="s">
        <v>310</v>
      </c>
      <c r="F779" s="320">
        <v>42643</v>
      </c>
      <c r="G779" s="625"/>
      <c r="H779" s="626"/>
      <c r="I779" s="624"/>
      <c r="J779" s="290" t="s">
        <v>311</v>
      </c>
      <c r="K779" s="280" t="s">
        <v>312</v>
      </c>
      <c r="L779" s="133" t="s">
        <v>1162</v>
      </c>
      <c r="M779" s="370">
        <v>2</v>
      </c>
      <c r="N779" s="177" t="s">
        <v>17</v>
      </c>
      <c r="O779" s="208"/>
      <c r="P779" s="212">
        <f t="shared" si="55"/>
        <v>2</v>
      </c>
      <c r="Q779" s="557" t="s">
        <v>875</v>
      </c>
      <c r="R779" s="533" t="s">
        <v>889</v>
      </c>
      <c r="S779" s="301">
        <v>43148</v>
      </c>
      <c r="T779" s="42"/>
      <c r="U779" s="45"/>
      <c r="V779" s="32"/>
      <c r="W779" s="33"/>
      <c r="X779" s="60">
        <v>1.137</v>
      </c>
      <c r="Y779" s="60"/>
      <c r="Z779" s="61"/>
      <c r="AA779" s="62"/>
      <c r="AB779" s="146"/>
      <c r="AC779" s="118"/>
    </row>
    <row r="780" spans="1:29" s="1" customFormat="1" ht="20.25" customHeight="1">
      <c r="A780" s="359" t="s">
        <v>28</v>
      </c>
      <c r="B780" s="8"/>
      <c r="C780" s="76" t="str">
        <f>K$2</f>
        <v>10/08/2019</v>
      </c>
      <c r="D780" s="169" t="s">
        <v>464</v>
      </c>
      <c r="E780" s="207" t="s">
        <v>431</v>
      </c>
      <c r="F780" s="318">
        <v>42552</v>
      </c>
      <c r="G780" s="622"/>
      <c r="H780" s="623"/>
      <c r="I780" s="624"/>
      <c r="J780" s="363" t="s">
        <v>167</v>
      </c>
      <c r="K780" s="280" t="s">
        <v>230</v>
      </c>
      <c r="L780" s="133" t="s">
        <v>229</v>
      </c>
      <c r="M780" s="368">
        <v>50</v>
      </c>
      <c r="N780" s="171" t="s">
        <v>1160</v>
      </c>
      <c r="O780" s="211"/>
      <c r="P780" s="212">
        <f t="shared" ref="P780:P784" si="56">IF(O780="",M780,M780-O780)</f>
        <v>50</v>
      </c>
      <c r="Q780" s="557" t="s">
        <v>875</v>
      </c>
      <c r="R780" s="533" t="s">
        <v>894</v>
      </c>
      <c r="S780" s="300" t="s">
        <v>168</v>
      </c>
      <c r="T780" s="48"/>
      <c r="V780" s="52"/>
      <c r="X780" s="63"/>
      <c r="Y780" s="63"/>
      <c r="Z780" s="64">
        <v>2400</v>
      </c>
      <c r="AA780" s="65"/>
      <c r="AB780" s="144"/>
      <c r="AC780" s="117"/>
    </row>
    <row r="781" spans="1:29" s="53" customFormat="1" ht="20.25" customHeight="1">
      <c r="A781" s="359" t="s">
        <v>20</v>
      </c>
      <c r="C781" s="76"/>
      <c r="D781" s="169" t="s">
        <v>552</v>
      </c>
      <c r="E781" s="181" t="s">
        <v>511</v>
      </c>
      <c r="F781" s="320">
        <v>42698</v>
      </c>
      <c r="G781" s="625"/>
      <c r="H781" s="626"/>
      <c r="I781" s="624"/>
      <c r="J781" s="290" t="s">
        <v>512</v>
      </c>
      <c r="K781" s="280" t="s">
        <v>513</v>
      </c>
      <c r="L781" s="133" t="s">
        <v>1206</v>
      </c>
      <c r="M781" s="370">
        <v>1</v>
      </c>
      <c r="N781" s="135" t="s">
        <v>17</v>
      </c>
      <c r="O781" s="208"/>
      <c r="P781" s="212">
        <f t="shared" si="56"/>
        <v>1</v>
      </c>
      <c r="Q781" s="557" t="s">
        <v>875</v>
      </c>
      <c r="R781" s="533" t="s">
        <v>884</v>
      </c>
      <c r="S781" s="301">
        <v>42855</v>
      </c>
      <c r="T781" s="72"/>
      <c r="U781" s="73"/>
      <c r="V781" s="74"/>
      <c r="W781" s="73"/>
      <c r="X781" s="78"/>
      <c r="Y781" s="75"/>
      <c r="Z781" s="64"/>
      <c r="AB781" s="147"/>
      <c r="AC781" s="119"/>
    </row>
    <row r="782" spans="1:29" s="58" customFormat="1" ht="21" customHeight="1">
      <c r="A782" s="359" t="s">
        <v>20</v>
      </c>
      <c r="B782" s="53"/>
      <c r="C782" s="76" t="str">
        <f>K$2</f>
        <v>10/08/2019</v>
      </c>
      <c r="D782" s="169" t="s">
        <v>427</v>
      </c>
      <c r="E782" s="181" t="s">
        <v>543</v>
      </c>
      <c r="F782" s="320"/>
      <c r="G782" s="625"/>
      <c r="H782" s="626"/>
      <c r="I782" s="624"/>
      <c r="J782" s="290" t="s">
        <v>544</v>
      </c>
      <c r="K782" s="280" t="s">
        <v>545</v>
      </c>
      <c r="L782" s="133" t="s">
        <v>1207</v>
      </c>
      <c r="M782" s="370">
        <v>1</v>
      </c>
      <c r="N782" s="177" t="s">
        <v>17</v>
      </c>
      <c r="O782" s="208"/>
      <c r="P782" s="212">
        <f t="shared" si="56"/>
        <v>1</v>
      </c>
      <c r="Q782" s="557" t="s">
        <v>875</v>
      </c>
      <c r="R782" s="533" t="s">
        <v>884</v>
      </c>
      <c r="S782" s="301"/>
      <c r="T782" s="54"/>
      <c r="U782" s="73"/>
      <c r="V782" s="74"/>
      <c r="W782" s="73"/>
      <c r="X782" s="66"/>
      <c r="Y782" s="66"/>
      <c r="Z782" s="67">
        <v>6800</v>
      </c>
      <c r="AA782" s="68"/>
      <c r="AB782" s="147"/>
      <c r="AC782" s="119"/>
    </row>
    <row r="783" spans="1:29" s="53" customFormat="1" ht="20.25" customHeight="1">
      <c r="A783" s="359" t="s">
        <v>28</v>
      </c>
      <c r="B783" s="79"/>
      <c r="C783" s="80" t="str">
        <f>K$2</f>
        <v>10/08/2019</v>
      </c>
      <c r="D783" s="169" t="s">
        <v>467</v>
      </c>
      <c r="E783" s="181" t="s">
        <v>310</v>
      </c>
      <c r="F783" s="320">
        <v>42643</v>
      </c>
      <c r="G783" s="625"/>
      <c r="H783" s="626"/>
      <c r="I783" s="624"/>
      <c r="J783" s="290" t="s">
        <v>311</v>
      </c>
      <c r="K783" s="280" t="s">
        <v>312</v>
      </c>
      <c r="L783" s="133" t="s">
        <v>1162</v>
      </c>
      <c r="M783" s="370">
        <v>2</v>
      </c>
      <c r="N783" s="135" t="s">
        <v>17</v>
      </c>
      <c r="O783" s="208"/>
      <c r="P783" s="212">
        <f t="shared" si="56"/>
        <v>2</v>
      </c>
      <c r="Q783" s="557" t="s">
        <v>875</v>
      </c>
      <c r="R783" s="533" t="s">
        <v>889</v>
      </c>
      <c r="S783" s="301">
        <v>43148</v>
      </c>
      <c r="T783" s="72"/>
      <c r="U783" s="81"/>
      <c r="V783" s="82"/>
      <c r="W783" s="81"/>
      <c r="X783" s="60">
        <v>40.5</v>
      </c>
      <c r="Y783" s="60"/>
      <c r="Z783" s="83"/>
      <c r="AA783" s="62"/>
      <c r="AB783" s="148"/>
      <c r="AC783" s="116"/>
    </row>
    <row r="784" spans="1:29" ht="20.25" customHeight="1">
      <c r="A784" s="359" t="s">
        <v>28</v>
      </c>
      <c r="B784" s="53"/>
      <c r="C784" s="76" t="str">
        <f>K$2</f>
        <v>10/08/2019</v>
      </c>
      <c r="D784" s="51" t="s">
        <v>534</v>
      </c>
      <c r="E784" s="611" t="s">
        <v>210</v>
      </c>
      <c r="F784" s="612">
        <v>42621</v>
      </c>
      <c r="G784" s="625"/>
      <c r="H784" s="626"/>
      <c r="I784" s="624"/>
      <c r="J784" s="613" t="s">
        <v>392</v>
      </c>
      <c r="K784" s="613" t="s">
        <v>217</v>
      </c>
      <c r="L784" s="613" t="s">
        <v>383</v>
      </c>
      <c r="M784" s="602">
        <v>1</v>
      </c>
      <c r="N784" s="614" t="s">
        <v>17</v>
      </c>
      <c r="O784" s="615"/>
      <c r="P784" s="603">
        <f t="shared" si="56"/>
        <v>1</v>
      </c>
      <c r="Q784" s="557" t="s">
        <v>875</v>
      </c>
      <c r="R784" s="533"/>
      <c r="S784" s="302"/>
      <c r="T784" s="54"/>
      <c r="U784" s="11"/>
      <c r="V784" s="57"/>
      <c r="W784" s="11"/>
      <c r="X784" s="66"/>
      <c r="Y784" s="66"/>
      <c r="Z784" s="67">
        <v>15000</v>
      </c>
      <c r="AA784" s="68"/>
      <c r="AB784" s="147"/>
      <c r="AC784" s="119"/>
    </row>
    <row r="785" spans="1:29" s="58" customFormat="1" ht="21" customHeight="1">
      <c r="A785" s="359" t="s">
        <v>28</v>
      </c>
      <c r="B785" s="10"/>
      <c r="C785" s="76"/>
      <c r="D785" s="169" t="s">
        <v>503</v>
      </c>
      <c r="E785" s="181" t="s">
        <v>358</v>
      </c>
      <c r="F785" s="320">
        <v>42354</v>
      </c>
      <c r="G785" s="625"/>
      <c r="H785" s="626"/>
      <c r="I785" s="624"/>
      <c r="J785" s="290" t="s">
        <v>359</v>
      </c>
      <c r="K785" s="280" t="s">
        <v>360</v>
      </c>
      <c r="L785" s="133" t="s">
        <v>361</v>
      </c>
      <c r="M785" s="370">
        <v>1</v>
      </c>
      <c r="N785" s="135" t="s">
        <v>17</v>
      </c>
      <c r="O785" s="208"/>
      <c r="P785" s="212">
        <f t="shared" ref="P785:P792" si="57">IF(O785="",M785,M785-O785)</f>
        <v>1</v>
      </c>
      <c r="Q785" s="557" t="s">
        <v>875</v>
      </c>
      <c r="R785" s="533" t="s">
        <v>884</v>
      </c>
      <c r="S785" s="301">
        <v>42819</v>
      </c>
      <c r="T785" s="20"/>
      <c r="U785" s="1"/>
      <c r="V785" s="28"/>
      <c r="W785" s="28"/>
      <c r="X785" s="63">
        <v>14.7</v>
      </c>
      <c r="Y785" s="63"/>
      <c r="Z785" s="64"/>
      <c r="AA785" s="65"/>
      <c r="AB785" s="143"/>
      <c r="AC785" s="115"/>
    </row>
    <row r="786" spans="1:29" s="53" customFormat="1" ht="20.25" customHeight="1">
      <c r="A786" s="359" t="s">
        <v>20</v>
      </c>
      <c r="B786" s="79"/>
      <c r="C786" s="80"/>
      <c r="D786" s="169" t="s">
        <v>333</v>
      </c>
      <c r="E786" s="181" t="s">
        <v>162</v>
      </c>
      <c r="F786" s="310">
        <v>42717</v>
      </c>
      <c r="G786" s="625"/>
      <c r="H786" s="626"/>
      <c r="I786" s="624"/>
      <c r="J786" s="290" t="s">
        <v>260</v>
      </c>
      <c r="K786" s="280" t="s">
        <v>261</v>
      </c>
      <c r="L786" s="133" t="s">
        <v>212</v>
      </c>
      <c r="M786" s="370">
        <v>2</v>
      </c>
      <c r="N786" s="135" t="s">
        <v>17</v>
      </c>
      <c r="O786" s="208"/>
      <c r="P786" s="212">
        <f t="shared" si="57"/>
        <v>2</v>
      </c>
      <c r="Q786" s="557" t="s">
        <v>875</v>
      </c>
      <c r="R786" s="533" t="s">
        <v>889</v>
      </c>
      <c r="S786" s="300"/>
      <c r="T786" s="72"/>
      <c r="U786" s="81"/>
      <c r="V786" s="82"/>
      <c r="W786" s="81"/>
      <c r="X786" s="60"/>
      <c r="Y786" s="60"/>
      <c r="Z786" s="83">
        <v>6400</v>
      </c>
      <c r="AA786" s="62"/>
      <c r="AB786" s="148"/>
      <c r="AC786" s="116"/>
    </row>
    <row r="787" spans="1:29" ht="20.25" customHeight="1">
      <c r="A787" s="359" t="s">
        <v>52</v>
      </c>
      <c r="B787" s="53"/>
      <c r="C787" s="76"/>
      <c r="D787" s="169" t="s">
        <v>547</v>
      </c>
      <c r="E787" s="149" t="s">
        <v>93</v>
      </c>
      <c r="F787" s="321">
        <v>42753</v>
      </c>
      <c r="G787" s="625"/>
      <c r="H787" s="626"/>
      <c r="I787" s="624"/>
      <c r="J787" s="285" t="s">
        <v>90</v>
      </c>
      <c r="K787" s="285" t="s">
        <v>91</v>
      </c>
      <c r="L787" s="285" t="s">
        <v>92</v>
      </c>
      <c r="M787" s="370">
        <v>2</v>
      </c>
      <c r="N787" s="150" t="s">
        <v>14</v>
      </c>
      <c r="O787" s="215"/>
      <c r="P787" s="212">
        <f t="shared" si="57"/>
        <v>2</v>
      </c>
      <c r="Q787" s="557" t="s">
        <v>875</v>
      </c>
      <c r="R787" s="533" t="s">
        <v>889</v>
      </c>
      <c r="S787" s="302">
        <v>43074</v>
      </c>
      <c r="T787" s="72"/>
      <c r="U787" s="73"/>
      <c r="V787" s="74"/>
      <c r="W787" s="73"/>
      <c r="X787" s="78"/>
      <c r="Y787" s="75">
        <v>296</v>
      </c>
      <c r="Z787" s="64"/>
      <c r="AA787" s="53"/>
      <c r="AB787" s="147"/>
      <c r="AC787" s="119"/>
    </row>
    <row r="788" spans="1:29" s="53" customFormat="1" ht="20.25" customHeight="1">
      <c r="A788" s="359" t="s">
        <v>52</v>
      </c>
      <c r="B788" s="8"/>
      <c r="C788" s="76" t="str">
        <f>K$2</f>
        <v>10/08/2019</v>
      </c>
      <c r="D788" s="169" t="s">
        <v>565</v>
      </c>
      <c r="E788" s="181" t="s">
        <v>197</v>
      </c>
      <c r="F788" s="320">
        <v>42716</v>
      </c>
      <c r="G788" s="625"/>
      <c r="H788" s="626"/>
      <c r="I788" s="624"/>
      <c r="J788" s="290" t="s">
        <v>198</v>
      </c>
      <c r="K788" s="280" t="s">
        <v>541</v>
      </c>
      <c r="L788" s="133" t="s">
        <v>1187</v>
      </c>
      <c r="M788" s="370">
        <v>1</v>
      </c>
      <c r="N788" s="177" t="s">
        <v>17</v>
      </c>
      <c r="O788" s="208"/>
      <c r="P788" s="212">
        <f t="shared" si="57"/>
        <v>1</v>
      </c>
      <c r="Q788" s="557" t="s">
        <v>875</v>
      </c>
      <c r="R788" s="533" t="s">
        <v>884</v>
      </c>
      <c r="S788" s="301">
        <v>43047</v>
      </c>
      <c r="T788" s="35"/>
      <c r="U788" s="1"/>
      <c r="V788" s="32"/>
      <c r="W788" s="32"/>
      <c r="X788" s="63">
        <v>0.83399999999999996</v>
      </c>
      <c r="Y788" s="63"/>
      <c r="Z788" s="64"/>
      <c r="AA788" s="65"/>
      <c r="AB788" s="143"/>
      <c r="AC788" s="115"/>
    </row>
    <row r="789" spans="1:29" s="45" customFormat="1" ht="20.25" customHeight="1">
      <c r="A789" s="359" t="s">
        <v>28</v>
      </c>
      <c r="B789" s="79"/>
      <c r="C789" s="80"/>
      <c r="D789" s="169" t="s">
        <v>518</v>
      </c>
      <c r="E789" s="181" t="s">
        <v>346</v>
      </c>
      <c r="F789" s="320">
        <v>42195</v>
      </c>
      <c r="G789" s="625"/>
      <c r="H789" s="626"/>
      <c r="I789" s="621"/>
      <c r="J789" s="278" t="s">
        <v>394</v>
      </c>
      <c r="K789" s="280" t="s">
        <v>347</v>
      </c>
      <c r="L789" s="133" t="s">
        <v>1163</v>
      </c>
      <c r="M789" s="370">
        <v>1</v>
      </c>
      <c r="N789" s="177" t="s">
        <v>18</v>
      </c>
      <c r="O789" s="214"/>
      <c r="P789" s="212">
        <f t="shared" si="57"/>
        <v>1</v>
      </c>
      <c r="Q789" s="557" t="s">
        <v>875</v>
      </c>
      <c r="R789" s="533" t="s">
        <v>884</v>
      </c>
      <c r="S789" s="301" t="s">
        <v>168</v>
      </c>
      <c r="T789" s="72"/>
      <c r="U789" s="81"/>
      <c r="V789" s="738"/>
      <c r="W789" s="744"/>
      <c r="X789" s="60"/>
      <c r="Y789" s="60" t="s">
        <v>602</v>
      </c>
      <c r="Z789" s="83"/>
      <c r="AA789" s="62"/>
      <c r="AB789" s="148"/>
      <c r="AC789" s="116"/>
    </row>
    <row r="790" spans="1:29" ht="20.25" customHeight="1">
      <c r="A790" s="359" t="s">
        <v>28</v>
      </c>
      <c r="B790" s="79"/>
      <c r="C790" s="80" t="e">
        <f>#REF!</f>
        <v>#REF!</v>
      </c>
      <c r="D790" s="169" t="s">
        <v>379</v>
      </c>
      <c r="E790" s="207" t="s">
        <v>241</v>
      </c>
      <c r="F790" s="318">
        <v>42713</v>
      </c>
      <c r="G790" s="622"/>
      <c r="H790" s="623"/>
      <c r="I790" s="621"/>
      <c r="J790" s="279" t="s">
        <v>239</v>
      </c>
      <c r="K790" s="280" t="s">
        <v>532</v>
      </c>
      <c r="L790" s="133" t="s">
        <v>658</v>
      </c>
      <c r="M790" s="368">
        <v>1</v>
      </c>
      <c r="N790" s="171" t="s">
        <v>17</v>
      </c>
      <c r="O790" s="211"/>
      <c r="P790" s="212">
        <f t="shared" si="57"/>
        <v>1</v>
      </c>
      <c r="Q790" s="557" t="s">
        <v>875</v>
      </c>
      <c r="R790" s="533" t="s">
        <v>884</v>
      </c>
      <c r="S790" s="301">
        <v>43012</v>
      </c>
      <c r="T790" s="27"/>
      <c r="U790" s="81">
        <f ca="1">IF(F791="","",DAYS360(F791,V790))</f>
        <v>1004</v>
      </c>
      <c r="V790" s="82">
        <f ca="1">TODAY()</f>
        <v>43720</v>
      </c>
      <c r="W790" s="81" t="e">
        <f>IF(P791=0,"",IF(D791=#REF!,"","+"))</f>
        <v>#REF!</v>
      </c>
      <c r="X790" s="60">
        <v>14</v>
      </c>
      <c r="Y790" s="60"/>
      <c r="Z790" s="83"/>
      <c r="AA790" s="62"/>
      <c r="AB790" s="148"/>
      <c r="AC790" s="116"/>
    </row>
    <row r="791" spans="1:29" s="58" customFormat="1" ht="21" customHeight="1">
      <c r="A791" s="359" t="s">
        <v>28</v>
      </c>
      <c r="B791"/>
      <c r="C791" s="76"/>
      <c r="D791" s="169" t="s">
        <v>379</v>
      </c>
      <c r="E791" s="149" t="s">
        <v>480</v>
      </c>
      <c r="F791" s="321">
        <v>42702</v>
      </c>
      <c r="G791" s="625"/>
      <c r="H791" s="626"/>
      <c r="I791" s="621"/>
      <c r="J791" s="284" t="s">
        <v>481</v>
      </c>
      <c r="K791" s="299" t="s">
        <v>482</v>
      </c>
      <c r="L791" s="185" t="s">
        <v>483</v>
      </c>
      <c r="M791" s="370">
        <v>6</v>
      </c>
      <c r="N791" s="150" t="s">
        <v>1134</v>
      </c>
      <c r="O791" s="215"/>
      <c r="P791" s="212">
        <f t="shared" si="57"/>
        <v>6</v>
      </c>
      <c r="Q791" s="557" t="s">
        <v>875</v>
      </c>
      <c r="R791" s="533" t="s">
        <v>887</v>
      </c>
      <c r="S791" s="302"/>
      <c r="T791" s="27"/>
      <c r="U791"/>
      <c r="V791" s="30"/>
      <c r="W791" s="31"/>
      <c r="X791" s="63"/>
      <c r="Y791" s="63"/>
      <c r="Z791" s="64"/>
      <c r="AA791" s="65"/>
      <c r="AB791" s="143"/>
      <c r="AC791" s="115"/>
    </row>
    <row r="792" spans="1:29" s="53" customFormat="1" ht="20.25" customHeight="1">
      <c r="A792" s="359" t="s">
        <v>28</v>
      </c>
      <c r="B792" s="79"/>
      <c r="C792" s="80"/>
      <c r="D792" s="169" t="s">
        <v>575</v>
      </c>
      <c r="E792" s="181" t="s">
        <v>424</v>
      </c>
      <c r="F792" s="320">
        <v>42725</v>
      </c>
      <c r="G792" s="625"/>
      <c r="H792" s="626"/>
      <c r="I792" s="621"/>
      <c r="J792" s="278" t="s">
        <v>387</v>
      </c>
      <c r="K792" s="280" t="s">
        <v>328</v>
      </c>
      <c r="L792" s="133" t="s">
        <v>380</v>
      </c>
      <c r="M792" s="370">
        <v>73</v>
      </c>
      <c r="N792" s="135" t="s">
        <v>1160</v>
      </c>
      <c r="O792" s="208"/>
      <c r="P792" s="212">
        <f t="shared" si="57"/>
        <v>73</v>
      </c>
      <c r="Q792" s="557" t="s">
        <v>875</v>
      </c>
      <c r="R792" s="533" t="s">
        <v>895</v>
      </c>
      <c r="S792" s="301"/>
      <c r="T792" s="72"/>
      <c r="U792" s="81"/>
      <c r="V792" s="738"/>
      <c r="W792" s="744"/>
      <c r="X792" s="60"/>
      <c r="Y792" s="60"/>
      <c r="Z792" s="83">
        <v>5500</v>
      </c>
      <c r="AA792" s="62"/>
      <c r="AB792" s="148"/>
      <c r="AC792" s="116"/>
    </row>
    <row r="793" spans="1:29" s="58" customFormat="1" ht="21" customHeight="1">
      <c r="A793" s="359" t="s">
        <v>20</v>
      </c>
      <c r="B793" s="53"/>
      <c r="C793" s="76" t="str">
        <f>K$2</f>
        <v>10/08/2019</v>
      </c>
      <c r="D793" s="169" t="s">
        <v>548</v>
      </c>
      <c r="E793" s="149" t="s">
        <v>366</v>
      </c>
      <c r="F793" s="321">
        <v>42698</v>
      </c>
      <c r="G793" s="625"/>
      <c r="H793" s="626"/>
      <c r="I793" s="621"/>
      <c r="J793" s="284" t="s">
        <v>367</v>
      </c>
      <c r="K793" s="285" t="s">
        <v>368</v>
      </c>
      <c r="L793" s="285" t="s">
        <v>510</v>
      </c>
      <c r="M793" s="370">
        <v>4</v>
      </c>
      <c r="N793" s="150" t="s">
        <v>14</v>
      </c>
      <c r="O793" s="215"/>
      <c r="P793" s="212">
        <v>4</v>
      </c>
      <c r="Q793" s="557" t="s">
        <v>875</v>
      </c>
      <c r="R793" s="533" t="s">
        <v>891</v>
      </c>
      <c r="S793" s="302">
        <v>43027</v>
      </c>
      <c r="T793" s="72"/>
      <c r="U793" s="73"/>
      <c r="V793" s="74"/>
      <c r="W793" s="73"/>
      <c r="X793" s="53"/>
      <c r="Y793" s="75"/>
      <c r="Z793" s="64">
        <v>15600</v>
      </c>
      <c r="AA793" s="53"/>
      <c r="AB793" s="147"/>
      <c r="AC793" s="119"/>
    </row>
    <row r="794" spans="1:29" s="58" customFormat="1" ht="21" customHeight="1">
      <c r="A794" s="359" t="s">
        <v>20</v>
      </c>
      <c r="B794" s="79"/>
      <c r="C794" s="80"/>
      <c r="D794" s="169" t="s">
        <v>464</v>
      </c>
      <c r="E794" s="181" t="s">
        <v>440</v>
      </c>
      <c r="F794" s="320">
        <v>42564</v>
      </c>
      <c r="G794" s="625"/>
      <c r="H794" s="626"/>
      <c r="I794" s="621"/>
      <c r="J794" s="278" t="s">
        <v>441</v>
      </c>
      <c r="K794" s="280" t="s">
        <v>442</v>
      </c>
      <c r="L794" s="133" t="s">
        <v>1208</v>
      </c>
      <c r="M794" s="370">
        <v>0.16</v>
      </c>
      <c r="N794" s="135" t="s">
        <v>17</v>
      </c>
      <c r="O794" s="213"/>
      <c r="P794" s="212">
        <f t="shared" ref="P794:P805" si="58">IF(O794="",M794,M794-O794)</f>
        <v>0.16</v>
      </c>
      <c r="Q794" s="557" t="s">
        <v>875</v>
      </c>
      <c r="R794" s="533"/>
      <c r="S794" s="301"/>
      <c r="T794" s="72"/>
      <c r="U794" s="81"/>
      <c r="V794" s="82"/>
      <c r="W794" s="81"/>
      <c r="X794" s="60"/>
      <c r="Y794" s="60" t="s">
        <v>600</v>
      </c>
      <c r="Z794" s="83"/>
      <c r="AA794" s="62"/>
      <c r="AB794" s="148"/>
      <c r="AC794" s="116"/>
    </row>
    <row r="795" spans="1:29" s="58" customFormat="1" ht="21" customHeight="1">
      <c r="A795" s="359" t="s">
        <v>20</v>
      </c>
      <c r="B795" s="79"/>
      <c r="C795" s="80"/>
      <c r="D795" s="169" t="s">
        <v>549</v>
      </c>
      <c r="E795" s="149" t="s">
        <v>93</v>
      </c>
      <c r="F795" s="321">
        <v>42782</v>
      </c>
      <c r="G795" s="625"/>
      <c r="H795" s="626"/>
      <c r="I795" s="621"/>
      <c r="J795" s="284" t="s">
        <v>90</v>
      </c>
      <c r="K795" s="285" t="s">
        <v>91</v>
      </c>
      <c r="L795" s="285" t="s">
        <v>599</v>
      </c>
      <c r="M795" s="370">
        <v>2</v>
      </c>
      <c r="N795" s="150" t="s">
        <v>14</v>
      </c>
      <c r="O795" s="215"/>
      <c r="P795" s="212">
        <f t="shared" si="58"/>
        <v>2</v>
      </c>
      <c r="Q795" s="557" t="s">
        <v>875</v>
      </c>
      <c r="R795" s="529" t="s">
        <v>805</v>
      </c>
      <c r="S795" s="302">
        <v>43076</v>
      </c>
      <c r="T795" s="72"/>
      <c r="U795" s="81"/>
      <c r="V795" s="82"/>
      <c r="W795" s="81"/>
      <c r="X795" s="60"/>
      <c r="Y795" s="60"/>
      <c r="Z795" s="83"/>
      <c r="AA795" s="62"/>
      <c r="AB795" s="148"/>
      <c r="AC795" s="116"/>
    </row>
    <row r="796" spans="1:29" s="58" customFormat="1" ht="21" customHeight="1">
      <c r="A796" s="359" t="s">
        <v>20</v>
      </c>
      <c r="B796" s="79"/>
      <c r="C796" s="80"/>
      <c r="D796" s="169" t="s">
        <v>528</v>
      </c>
      <c r="E796" s="149" t="s">
        <v>635</v>
      </c>
      <c r="F796" s="321">
        <v>42822</v>
      </c>
      <c r="G796" s="625"/>
      <c r="H796" s="626"/>
      <c r="I796" s="621"/>
      <c r="J796" s="284" t="s">
        <v>636</v>
      </c>
      <c r="K796" s="285" t="s">
        <v>637</v>
      </c>
      <c r="L796" s="285" t="s">
        <v>634</v>
      </c>
      <c r="M796" s="370">
        <v>1</v>
      </c>
      <c r="N796" s="150" t="s">
        <v>14</v>
      </c>
      <c r="O796" s="215"/>
      <c r="P796" s="212">
        <f t="shared" si="58"/>
        <v>1</v>
      </c>
      <c r="Q796" s="557" t="s">
        <v>875</v>
      </c>
      <c r="R796" s="533" t="s">
        <v>884</v>
      </c>
      <c r="S796" s="302">
        <v>43152</v>
      </c>
      <c r="T796" s="72"/>
      <c r="U796" s="81"/>
      <c r="V796" s="82"/>
      <c r="W796" s="81"/>
      <c r="X796" s="60"/>
      <c r="Y796" s="60" t="s">
        <v>600</v>
      </c>
      <c r="Z796" s="83"/>
      <c r="AA796" s="62"/>
      <c r="AB796" s="148"/>
      <c r="AC796" s="116"/>
    </row>
    <row r="797" spans="1:29" s="58" customFormat="1" ht="21" customHeight="1">
      <c r="A797" s="359" t="s">
        <v>66</v>
      </c>
      <c r="B797" s="79"/>
      <c r="C797" s="80"/>
      <c r="D797" s="169" t="s">
        <v>548</v>
      </c>
      <c r="E797" s="149" t="s">
        <v>93</v>
      </c>
      <c r="F797" s="321">
        <v>42782</v>
      </c>
      <c r="G797" s="625"/>
      <c r="H797" s="626"/>
      <c r="I797" s="621"/>
      <c r="J797" s="284" t="s">
        <v>90</v>
      </c>
      <c r="K797" s="285" t="s">
        <v>91</v>
      </c>
      <c r="L797" s="285" t="s">
        <v>599</v>
      </c>
      <c r="M797" s="370">
        <v>4</v>
      </c>
      <c r="N797" s="150" t="s">
        <v>14</v>
      </c>
      <c r="O797" s="215"/>
      <c r="P797" s="212">
        <f t="shared" si="58"/>
        <v>4</v>
      </c>
      <c r="Q797" s="557" t="s">
        <v>875</v>
      </c>
      <c r="R797" s="533" t="s">
        <v>891</v>
      </c>
      <c r="S797" s="302">
        <v>43076</v>
      </c>
      <c r="T797" s="72"/>
      <c r="U797" s="81"/>
      <c r="V797" s="82">
        <f ca="1">TODAY()</f>
        <v>43720</v>
      </c>
      <c r="W797" s="81" t="e">
        <f>IF(P798=0,"",IF(D798=#REF!,"","+"))</f>
        <v>#REF!</v>
      </c>
      <c r="X797" s="60"/>
      <c r="Y797" s="60"/>
      <c r="Z797" s="83"/>
      <c r="AA797" s="62">
        <v>850</v>
      </c>
      <c r="AB797" s="148"/>
      <c r="AC797" s="116"/>
    </row>
    <row r="798" spans="1:29" s="58" customFormat="1" ht="21" customHeight="1">
      <c r="A798" s="359" t="s">
        <v>66</v>
      </c>
      <c r="B798" s="79"/>
      <c r="C798" s="80"/>
      <c r="D798" s="169" t="s">
        <v>427</v>
      </c>
      <c r="E798" s="149" t="s">
        <v>655</v>
      </c>
      <c r="F798" s="321">
        <v>42853</v>
      </c>
      <c r="G798" s="625"/>
      <c r="H798" s="626"/>
      <c r="I798" s="621"/>
      <c r="J798" s="284" t="s">
        <v>737</v>
      </c>
      <c r="K798" s="285" t="s">
        <v>738</v>
      </c>
      <c r="L798" s="285" t="s">
        <v>739</v>
      </c>
      <c r="M798" s="134">
        <v>3</v>
      </c>
      <c r="N798" s="150" t="s">
        <v>17</v>
      </c>
      <c r="O798" s="213"/>
      <c r="P798" s="212">
        <f t="shared" si="58"/>
        <v>3</v>
      </c>
      <c r="Q798" s="557" t="s">
        <v>875</v>
      </c>
      <c r="R798" s="533" t="s">
        <v>883</v>
      </c>
      <c r="S798" s="302">
        <v>43186</v>
      </c>
      <c r="T798" s="27"/>
      <c r="U798" s="81"/>
      <c r="V798" s="82"/>
      <c r="W798" s="81"/>
      <c r="X798" s="60"/>
      <c r="Y798" s="60"/>
      <c r="Z798" s="83"/>
      <c r="AA798" s="62"/>
      <c r="AB798" s="142"/>
      <c r="AC798" s="117"/>
    </row>
    <row r="799" spans="1:29" s="58" customFormat="1" ht="21" customHeight="1">
      <c r="A799" s="359"/>
      <c r="B799" s="79"/>
      <c r="C799" s="80"/>
      <c r="D799" s="169" t="s">
        <v>607</v>
      </c>
      <c r="E799" s="149"/>
      <c r="F799" s="321"/>
      <c r="G799" s="625"/>
      <c r="H799" s="626"/>
      <c r="I799" s="621"/>
      <c r="J799" s="284" t="s">
        <v>608</v>
      </c>
      <c r="K799" s="299" t="s">
        <v>613</v>
      </c>
      <c r="L799" s="185"/>
      <c r="M799" s="134">
        <v>1</v>
      </c>
      <c r="N799" s="150" t="s">
        <v>17</v>
      </c>
      <c r="O799" s="88"/>
      <c r="P799" s="90">
        <f t="shared" si="58"/>
        <v>1</v>
      </c>
      <c r="Q799" s="560" t="s">
        <v>943</v>
      </c>
      <c r="R799" s="272"/>
      <c r="S799" s="282"/>
      <c r="T799" s="27"/>
      <c r="U799" s="81"/>
      <c r="V799" s="82"/>
      <c r="W799" s="81"/>
      <c r="X799" s="60"/>
      <c r="Y799" s="60"/>
      <c r="Z799" s="83"/>
      <c r="AA799" s="62"/>
      <c r="AB799" s="142"/>
      <c r="AC799" s="117"/>
    </row>
    <row r="800" spans="1:29" s="58" customFormat="1" ht="21" customHeight="1">
      <c r="A800" s="359"/>
      <c r="B800" s="79"/>
      <c r="C800" s="80"/>
      <c r="D800" s="169" t="s">
        <v>607</v>
      </c>
      <c r="E800" s="149"/>
      <c r="F800" s="321"/>
      <c r="G800" s="625"/>
      <c r="H800" s="626"/>
      <c r="I800" s="621"/>
      <c r="J800" s="284" t="s">
        <v>609</v>
      </c>
      <c r="K800" s="299" t="s">
        <v>614</v>
      </c>
      <c r="L800" s="185"/>
      <c r="M800" s="134">
        <v>1</v>
      </c>
      <c r="N800" s="150" t="s">
        <v>17</v>
      </c>
      <c r="O800" s="88"/>
      <c r="P800" s="90">
        <f t="shared" si="58"/>
        <v>1</v>
      </c>
      <c r="Q800" s="560" t="s">
        <v>943</v>
      </c>
      <c r="R800" s="272"/>
      <c r="S800" s="282"/>
      <c r="T800" s="27"/>
      <c r="U800" s="81"/>
      <c r="V800" s="738"/>
      <c r="W800" s="744"/>
      <c r="X800" s="60"/>
      <c r="Y800" s="60"/>
      <c r="Z800" s="83"/>
      <c r="AA800" s="62"/>
      <c r="AB800" s="142"/>
      <c r="AC800" s="117"/>
    </row>
    <row r="801" spans="1:29" s="58" customFormat="1" ht="21" customHeight="1">
      <c r="A801" s="359"/>
      <c r="B801" s="79"/>
      <c r="C801" s="80"/>
      <c r="D801" s="169" t="s">
        <v>607</v>
      </c>
      <c r="E801" s="149"/>
      <c r="F801" s="321"/>
      <c r="G801" s="625"/>
      <c r="H801" s="626"/>
      <c r="I801" s="621"/>
      <c r="J801" s="284" t="s">
        <v>611</v>
      </c>
      <c r="K801" s="299" t="s">
        <v>615</v>
      </c>
      <c r="L801" s="185"/>
      <c r="M801" s="134">
        <v>1</v>
      </c>
      <c r="N801" s="150" t="s">
        <v>17</v>
      </c>
      <c r="O801" s="88"/>
      <c r="P801" s="90">
        <f t="shared" si="58"/>
        <v>1</v>
      </c>
      <c r="Q801" s="560" t="s">
        <v>943</v>
      </c>
      <c r="R801" s="272"/>
      <c r="S801" s="282"/>
      <c r="T801" s="27"/>
      <c r="U801" s="81"/>
      <c r="V801" s="82"/>
      <c r="W801" s="81"/>
      <c r="X801" s="60"/>
      <c r="Y801" s="60"/>
      <c r="Z801" s="83"/>
      <c r="AA801" s="62"/>
      <c r="AB801" s="142"/>
      <c r="AC801" s="117"/>
    </row>
    <row r="802" spans="1:29" s="58" customFormat="1" ht="21" customHeight="1">
      <c r="A802" s="359"/>
      <c r="B802" s="79"/>
      <c r="C802" s="80"/>
      <c r="D802" s="169" t="s">
        <v>607</v>
      </c>
      <c r="E802" s="149"/>
      <c r="F802" s="321"/>
      <c r="G802" s="625"/>
      <c r="H802" s="626"/>
      <c r="I802" s="621"/>
      <c r="J802" s="284" t="s">
        <v>610</v>
      </c>
      <c r="K802" s="299" t="s">
        <v>616</v>
      </c>
      <c r="L802" s="185"/>
      <c r="M802" s="134">
        <v>1</v>
      </c>
      <c r="N802" s="150" t="s">
        <v>17</v>
      </c>
      <c r="O802" s="88"/>
      <c r="P802" s="90">
        <f t="shared" si="58"/>
        <v>1</v>
      </c>
      <c r="Q802" s="560" t="s">
        <v>943</v>
      </c>
      <c r="R802" s="272"/>
      <c r="S802" s="282"/>
      <c r="T802" s="27"/>
      <c r="U802" s="81"/>
      <c r="V802" s="738"/>
      <c r="W802" s="744"/>
      <c r="X802" s="60"/>
      <c r="Y802" s="60"/>
      <c r="Z802" s="83"/>
      <c r="AA802" s="62"/>
      <c r="AB802" s="142"/>
      <c r="AC802" s="117"/>
    </row>
    <row r="803" spans="1:29" s="45" customFormat="1" ht="20.25" customHeight="1">
      <c r="A803" s="359"/>
      <c r="B803" s="79"/>
      <c r="C803" s="80"/>
      <c r="D803" s="169" t="s">
        <v>607</v>
      </c>
      <c r="E803" s="149"/>
      <c r="F803" s="321"/>
      <c r="G803" s="625"/>
      <c r="H803" s="626"/>
      <c r="I803" s="621"/>
      <c r="J803" s="284" t="s">
        <v>1174</v>
      </c>
      <c r="K803" s="299" t="s">
        <v>1175</v>
      </c>
      <c r="L803" s="185"/>
      <c r="M803" s="134">
        <v>2</v>
      </c>
      <c r="N803" s="150" t="s">
        <v>17</v>
      </c>
      <c r="O803" s="88"/>
      <c r="P803" s="90">
        <f t="shared" si="58"/>
        <v>2</v>
      </c>
      <c r="Q803" s="560" t="s">
        <v>943</v>
      </c>
      <c r="R803" s="272"/>
      <c r="S803" s="282"/>
      <c r="T803" s="27"/>
      <c r="U803" s="81"/>
      <c r="V803" s="738"/>
      <c r="W803" s="81"/>
      <c r="X803" s="60"/>
      <c r="Y803" s="60"/>
      <c r="Z803" s="83"/>
      <c r="AA803" s="62"/>
      <c r="AB803" s="142"/>
      <c r="AC803" s="117"/>
    </row>
    <row r="804" spans="1:29" ht="20.25" customHeight="1">
      <c r="A804" s="359"/>
      <c r="B804" s="38"/>
      <c r="C804" s="76" t="str">
        <f>K$2</f>
        <v>10/08/2019</v>
      </c>
      <c r="D804" s="169" t="s">
        <v>607</v>
      </c>
      <c r="E804" s="149"/>
      <c r="F804" s="321"/>
      <c r="G804" s="625"/>
      <c r="H804" s="626"/>
      <c r="I804" s="621"/>
      <c r="J804" s="284" t="s">
        <v>612</v>
      </c>
      <c r="K804" s="299"/>
      <c r="L804" s="185"/>
      <c r="M804" s="134">
        <v>1</v>
      </c>
      <c r="N804" s="150"/>
      <c r="O804" s="88"/>
      <c r="P804" s="90">
        <f t="shared" si="58"/>
        <v>1</v>
      </c>
      <c r="Q804" s="560" t="s">
        <v>943</v>
      </c>
      <c r="R804" s="272"/>
      <c r="S804" s="282"/>
      <c r="T804" s="42"/>
      <c r="U804" s="45"/>
      <c r="V804" s="46"/>
      <c r="W804" s="47"/>
      <c r="X804" s="60"/>
      <c r="Y804" s="60"/>
      <c r="Z804" s="61"/>
      <c r="AA804" s="62"/>
      <c r="AB804" s="142"/>
      <c r="AC804" s="117"/>
    </row>
    <row r="805" spans="1:29" ht="17.25" customHeight="1">
      <c r="A805" s="359" t="s">
        <v>20</v>
      </c>
      <c r="C805" t="str">
        <f>K$2</f>
        <v>10/08/2019</v>
      </c>
      <c r="D805" s="169" t="s">
        <v>607</v>
      </c>
      <c r="E805" s="207"/>
      <c r="F805" s="318">
        <v>42234</v>
      </c>
      <c r="G805" s="622"/>
      <c r="H805" s="623"/>
      <c r="I805" s="621"/>
      <c r="J805" s="279"/>
      <c r="K805" s="280" t="s">
        <v>265</v>
      </c>
      <c r="L805" s="133"/>
      <c r="M805" s="175">
        <v>9</v>
      </c>
      <c r="N805" s="171" t="s">
        <v>1160</v>
      </c>
      <c r="O805" s="18"/>
      <c r="P805" s="90">
        <f t="shared" si="58"/>
        <v>9</v>
      </c>
      <c r="Q805" s="560" t="s">
        <v>943</v>
      </c>
      <c r="R805" s="272"/>
      <c r="S805" s="288"/>
      <c r="T805" s="72"/>
      <c r="U805" s="73"/>
      <c r="V805" s="74"/>
      <c r="W805" s="73"/>
      <c r="X805" s="53"/>
      <c r="Y805" s="75"/>
      <c r="Z805" s="64"/>
      <c r="AA805" s="53"/>
      <c r="AB805" s="142"/>
      <c r="AC805" s="117"/>
    </row>
    <row r="806" spans="1:29" ht="18">
      <c r="A806" s="359"/>
      <c r="D806" s="223"/>
      <c r="J806" s="223"/>
      <c r="R806" s="534"/>
    </row>
    <row r="807" spans="1:29">
      <c r="A807" s="359"/>
    </row>
    <row r="808" spans="1:29">
      <c r="A808" s="359"/>
    </row>
    <row r="809" spans="1:29">
      <c r="A809" s="359"/>
    </row>
    <row r="810" spans="1:29">
      <c r="A810" s="359"/>
      <c r="D810" s="308"/>
      <c r="R810" s="580"/>
    </row>
    <row r="811" spans="1:29">
      <c r="A811" s="359"/>
      <c r="R811" s="304" t="s">
        <v>31</v>
      </c>
    </row>
    <row r="812" spans="1:29">
      <c r="A812" s="359"/>
      <c r="Q812" s="733"/>
    </row>
    <row r="813" spans="1:29">
      <c r="A813" s="359"/>
    </row>
    <row r="814" spans="1:29">
      <c r="A814" s="359"/>
      <c r="K814" s="543"/>
      <c r="Z814" s="143"/>
      <c r="AA814" s="115"/>
      <c r="AB814"/>
      <c r="AC814"/>
    </row>
    <row r="815" spans="1:29">
      <c r="A815" s="359"/>
      <c r="S815" s="274"/>
      <c r="Z815" s="143"/>
      <c r="AA815" s="115"/>
      <c r="AB815"/>
      <c r="AC815"/>
    </row>
    <row r="816" spans="1:29">
      <c r="A816" s="359"/>
      <c r="S816" s="274"/>
      <c r="Z816" s="143"/>
      <c r="AA816" s="115"/>
      <c r="AB816"/>
      <c r="AC816"/>
    </row>
    <row r="817" spans="1:29">
      <c r="A817" s="359"/>
      <c r="S817" s="274"/>
      <c r="Z817" s="143"/>
      <c r="AA817" s="115"/>
      <c r="AB817"/>
      <c r="AC817"/>
    </row>
    <row r="818" spans="1:29" ht="18" customHeight="1">
      <c r="A818" s="359"/>
      <c r="S818" s="274"/>
      <c r="Z818" s="143"/>
      <c r="AA818" s="115"/>
      <c r="AB818"/>
      <c r="AC818"/>
    </row>
    <row r="819" spans="1:29">
      <c r="A819" s="359"/>
      <c r="S819" s="274"/>
      <c r="Z819" s="143"/>
      <c r="AA819" s="115"/>
      <c r="AB819"/>
      <c r="AC819"/>
    </row>
    <row r="820" spans="1:29">
      <c r="A820" s="359"/>
      <c r="S820" s="274"/>
      <c r="Z820" s="143"/>
      <c r="AA820" s="115"/>
      <c r="AB820"/>
      <c r="AC820"/>
    </row>
    <row r="821" spans="1:29">
      <c r="A821" s="359"/>
      <c r="S821" s="274"/>
    </row>
    <row r="822" spans="1:29">
      <c r="A822" s="359"/>
    </row>
    <row r="823" spans="1:29">
      <c r="A823" s="359"/>
    </row>
    <row r="824" spans="1:29">
      <c r="A824" s="359"/>
    </row>
    <row r="825" spans="1:29">
      <c r="A825" s="359"/>
    </row>
    <row r="826" spans="1:29">
      <c r="A826" s="359"/>
    </row>
    <row r="827" spans="1:29">
      <c r="A827" s="359"/>
    </row>
    <row r="828" spans="1:29">
      <c r="A828" s="359"/>
    </row>
    <row r="829" spans="1:29">
      <c r="A829" s="359"/>
    </row>
    <row r="830" spans="1:29">
      <c r="A830" s="359"/>
    </row>
    <row r="831" spans="1:29">
      <c r="A831" s="359"/>
    </row>
    <row r="832" spans="1:29" ht="14.25">
      <c r="A832" s="359"/>
      <c r="D832"/>
      <c r="E832"/>
      <c r="F832"/>
      <c r="G832" s="648"/>
      <c r="H832" s="648"/>
      <c r="I832" s="648"/>
      <c r="J832"/>
      <c r="K832"/>
      <c r="L832"/>
      <c r="M832"/>
      <c r="N832"/>
      <c r="O832"/>
      <c r="P832"/>
      <c r="Q832"/>
      <c r="R832" s="535"/>
      <c r="S832"/>
      <c r="AB832"/>
      <c r="AC832"/>
    </row>
    <row r="833" spans="1:29" ht="14.25">
      <c r="A833" s="359"/>
      <c r="D833"/>
      <c r="E833"/>
      <c r="F833"/>
      <c r="G833" s="648"/>
      <c r="H833" s="648"/>
      <c r="I833" s="648"/>
      <c r="J833"/>
      <c r="K833"/>
      <c r="L833"/>
      <c r="M833"/>
      <c r="N833"/>
      <c r="O833"/>
      <c r="P833"/>
      <c r="Q833"/>
      <c r="R833" s="535"/>
      <c r="S833"/>
      <c r="AB833"/>
      <c r="AC833"/>
    </row>
    <row r="834" spans="1:29" ht="14.25">
      <c r="A834" s="359"/>
      <c r="D834"/>
      <c r="E834"/>
      <c r="F834"/>
      <c r="G834" s="648"/>
      <c r="H834" s="648"/>
      <c r="I834" s="648"/>
      <c r="J834"/>
      <c r="K834"/>
      <c r="L834"/>
      <c r="M834"/>
      <c r="N834"/>
      <c r="O834"/>
      <c r="P834"/>
      <c r="Q834"/>
      <c r="R834" s="535"/>
      <c r="S834"/>
      <c r="AB834"/>
      <c r="AC834"/>
    </row>
    <row r="835" spans="1:29" ht="14.25">
      <c r="A835" s="359"/>
      <c r="D835"/>
      <c r="E835"/>
      <c r="F835"/>
      <c r="G835" s="648"/>
      <c r="H835" s="648"/>
      <c r="I835" s="648"/>
      <c r="J835"/>
      <c r="K835"/>
      <c r="L835"/>
      <c r="M835"/>
      <c r="N835"/>
      <c r="O835"/>
      <c r="P835"/>
      <c r="Q835"/>
      <c r="R835" s="535"/>
      <c r="S835"/>
      <c r="AB835"/>
      <c r="AC835"/>
    </row>
    <row r="836" spans="1:29" ht="14.25">
      <c r="A836" s="359"/>
      <c r="D836"/>
      <c r="E836"/>
      <c r="F836"/>
      <c r="G836" s="648"/>
      <c r="H836" s="648"/>
      <c r="I836" s="648"/>
      <c r="J836"/>
      <c r="K836"/>
      <c r="L836"/>
      <c r="M836"/>
      <c r="N836"/>
      <c r="O836"/>
      <c r="P836"/>
      <c r="Q836"/>
      <c r="R836" s="535"/>
      <c r="S836"/>
      <c r="AB836"/>
      <c r="AC836"/>
    </row>
    <row r="837" spans="1:29" ht="14.25">
      <c r="A837" s="359"/>
      <c r="D837"/>
      <c r="E837"/>
      <c r="F837"/>
      <c r="G837" s="648"/>
      <c r="H837" s="648"/>
      <c r="I837" s="648"/>
      <c r="J837"/>
      <c r="K837"/>
      <c r="L837"/>
      <c r="M837"/>
      <c r="N837"/>
      <c r="O837"/>
      <c r="P837"/>
      <c r="Q837"/>
      <c r="R837" s="535"/>
      <c r="S837"/>
      <c r="AB837"/>
      <c r="AC837"/>
    </row>
    <row r="838" spans="1:29" ht="14.25">
      <c r="A838" s="359"/>
      <c r="D838"/>
      <c r="E838"/>
      <c r="F838"/>
      <c r="G838" s="648"/>
      <c r="H838" s="648"/>
      <c r="I838" s="648"/>
      <c r="J838"/>
      <c r="K838"/>
      <c r="L838"/>
      <c r="M838"/>
      <c r="N838"/>
      <c r="O838"/>
      <c r="P838"/>
      <c r="Q838"/>
      <c r="R838" s="535"/>
      <c r="S838"/>
      <c r="AB838"/>
      <c r="AC838"/>
    </row>
    <row r="839" spans="1:29" ht="14.25">
      <c r="A839" s="359"/>
      <c r="D839"/>
      <c r="E839"/>
      <c r="F839"/>
      <c r="G839" s="648"/>
      <c r="H839" s="648"/>
      <c r="I839" s="648"/>
      <c r="J839"/>
      <c r="K839"/>
      <c r="L839"/>
      <c r="M839"/>
      <c r="N839"/>
      <c r="O839"/>
      <c r="P839"/>
      <c r="Q839"/>
      <c r="R839" s="535"/>
      <c r="S839"/>
      <c r="AB839"/>
      <c r="AC839"/>
    </row>
    <row r="840" spans="1:29" ht="14.25">
      <c r="A840" s="359"/>
      <c r="D840"/>
      <c r="E840"/>
      <c r="F840"/>
      <c r="G840" s="648"/>
      <c r="H840" s="648"/>
      <c r="I840" s="648"/>
      <c r="J840"/>
      <c r="K840"/>
      <c r="L840"/>
      <c r="M840"/>
      <c r="N840"/>
      <c r="O840"/>
      <c r="P840"/>
      <c r="Q840"/>
      <c r="R840" s="535"/>
      <c r="S840"/>
      <c r="AB840"/>
      <c r="AC840"/>
    </row>
    <row r="841" spans="1:29" ht="14.25">
      <c r="A841" s="359"/>
      <c r="D841"/>
      <c r="E841"/>
      <c r="F841"/>
      <c r="G841" s="648"/>
      <c r="H841" s="648"/>
      <c r="I841" s="648"/>
      <c r="J841"/>
      <c r="K841"/>
      <c r="L841"/>
      <c r="M841"/>
      <c r="N841"/>
      <c r="O841"/>
      <c r="P841"/>
      <c r="Q841"/>
      <c r="R841" s="535"/>
      <c r="S841"/>
      <c r="AB841"/>
      <c r="AC841"/>
    </row>
    <row r="842" spans="1:29" ht="14.25">
      <c r="A842" s="359"/>
      <c r="D842"/>
      <c r="E842"/>
      <c r="F842"/>
      <c r="G842" s="648"/>
      <c r="H842" s="648"/>
      <c r="I842" s="648"/>
      <c r="J842"/>
      <c r="K842"/>
      <c r="L842"/>
      <c r="M842"/>
      <c r="N842"/>
      <c r="O842"/>
      <c r="P842"/>
      <c r="Q842"/>
      <c r="R842" s="535"/>
      <c r="S842"/>
      <c r="AB842"/>
      <c r="AC842"/>
    </row>
    <row r="843" spans="1:29" ht="14.25">
      <c r="A843" s="359"/>
      <c r="D843"/>
      <c r="E843"/>
      <c r="F843"/>
      <c r="G843" s="648"/>
      <c r="H843" s="648"/>
      <c r="I843" s="648"/>
      <c r="J843"/>
      <c r="K843"/>
      <c r="L843"/>
      <c r="M843"/>
      <c r="N843"/>
      <c r="O843"/>
      <c r="P843"/>
      <c r="Q843"/>
      <c r="R843" s="535"/>
      <c r="S843"/>
      <c r="AB843"/>
      <c r="AC843"/>
    </row>
    <row r="844" spans="1:29" ht="14.25">
      <c r="A844" s="359"/>
      <c r="D844"/>
      <c r="E844"/>
      <c r="F844"/>
      <c r="G844" s="648"/>
      <c r="H844" s="648"/>
      <c r="I844" s="648"/>
      <c r="J844"/>
      <c r="K844"/>
      <c r="L844"/>
      <c r="M844"/>
      <c r="N844"/>
      <c r="O844"/>
      <c r="P844"/>
      <c r="Q844"/>
      <c r="R844" s="535"/>
      <c r="S844"/>
      <c r="AB844"/>
      <c r="AC844"/>
    </row>
    <row r="845" spans="1:29" ht="14.25">
      <c r="A845" s="359"/>
      <c r="D845"/>
      <c r="E845"/>
      <c r="F845"/>
      <c r="G845" s="648"/>
      <c r="H845" s="648"/>
      <c r="I845" s="648"/>
      <c r="J845"/>
      <c r="K845"/>
      <c r="L845"/>
      <c r="M845"/>
      <c r="N845"/>
      <c r="O845"/>
      <c r="P845"/>
      <c r="Q845"/>
      <c r="R845" s="535"/>
      <c r="S845"/>
      <c r="AB845"/>
      <c r="AC845"/>
    </row>
    <row r="846" spans="1:29" ht="14.25">
      <c r="A846" s="359"/>
      <c r="D846"/>
      <c r="E846"/>
      <c r="F846"/>
      <c r="G846" s="648"/>
      <c r="H846" s="648"/>
      <c r="I846" s="648"/>
      <c r="J846"/>
      <c r="K846"/>
      <c r="L846"/>
      <c r="M846"/>
      <c r="N846"/>
      <c r="O846"/>
      <c r="P846"/>
      <c r="Q846"/>
      <c r="R846" s="535"/>
      <c r="S846"/>
      <c r="AB846"/>
      <c r="AC846"/>
    </row>
    <row r="847" spans="1:29" ht="14.25">
      <c r="A847" s="359"/>
      <c r="D847"/>
      <c r="E847"/>
      <c r="F847"/>
      <c r="G847" s="648"/>
      <c r="H847" s="648"/>
      <c r="I847" s="648"/>
      <c r="J847"/>
      <c r="K847"/>
      <c r="L847"/>
      <c r="M847"/>
      <c r="N847"/>
      <c r="O847"/>
      <c r="P847"/>
      <c r="Q847"/>
      <c r="R847" s="535"/>
      <c r="S847"/>
      <c r="AB847"/>
      <c r="AC847"/>
    </row>
    <row r="848" spans="1:29" ht="14.25">
      <c r="A848" s="359"/>
      <c r="D848"/>
      <c r="E848"/>
      <c r="F848"/>
      <c r="G848" s="648"/>
      <c r="H848" s="648"/>
      <c r="I848" s="648"/>
      <c r="J848"/>
      <c r="K848"/>
      <c r="L848"/>
      <c r="M848"/>
      <c r="N848"/>
      <c r="O848"/>
      <c r="P848"/>
      <c r="Q848"/>
      <c r="R848" s="535"/>
      <c r="S848"/>
      <c r="AB848"/>
      <c r="AC848"/>
    </row>
    <row r="849" spans="1:29" ht="14.25">
      <c r="A849" s="359"/>
      <c r="D849"/>
      <c r="E849"/>
      <c r="F849"/>
      <c r="G849" s="648"/>
      <c r="H849" s="648"/>
      <c r="I849" s="648"/>
      <c r="J849"/>
      <c r="K849"/>
      <c r="L849"/>
      <c r="M849"/>
      <c r="N849"/>
      <c r="O849"/>
      <c r="P849"/>
      <c r="Q849"/>
      <c r="R849" s="535"/>
      <c r="S849"/>
      <c r="AB849"/>
      <c r="AC849"/>
    </row>
    <row r="850" spans="1:29" ht="14.25">
      <c r="A850" s="359"/>
      <c r="D850"/>
      <c r="E850"/>
      <c r="F850"/>
      <c r="G850" s="648"/>
      <c r="H850" s="648"/>
      <c r="I850" s="648"/>
      <c r="J850"/>
      <c r="K850"/>
      <c r="L850"/>
      <c r="M850"/>
      <c r="N850"/>
      <c r="O850"/>
      <c r="P850"/>
      <c r="Q850"/>
      <c r="R850" s="535"/>
      <c r="S850"/>
      <c r="AB850"/>
      <c r="AC850"/>
    </row>
    <row r="851" spans="1:29" ht="14.25">
      <c r="A851" s="359"/>
      <c r="D851"/>
      <c r="E851"/>
      <c r="F851"/>
      <c r="G851" s="648"/>
      <c r="H851" s="648"/>
      <c r="I851" s="648"/>
      <c r="J851"/>
      <c r="K851"/>
      <c r="L851"/>
      <c r="M851"/>
      <c r="N851"/>
      <c r="O851"/>
      <c r="P851"/>
      <c r="Q851"/>
      <c r="R851" s="535"/>
      <c r="S851"/>
      <c r="AB851"/>
      <c r="AC851"/>
    </row>
    <row r="852" spans="1:29" ht="14.25">
      <c r="D852"/>
      <c r="E852"/>
      <c r="F852"/>
      <c r="G852" s="648"/>
      <c r="H852" s="648"/>
      <c r="I852" s="648"/>
      <c r="J852"/>
      <c r="K852"/>
      <c r="L852"/>
      <c r="M852"/>
      <c r="N852"/>
      <c r="O852"/>
      <c r="P852"/>
      <c r="Q852"/>
      <c r="R852" s="535"/>
      <c r="S852"/>
      <c r="AB852"/>
      <c r="AC852"/>
    </row>
    <row r="1764" spans="1:29">
      <c r="A1764"/>
    </row>
    <row r="1765" spans="1:29">
      <c r="A1765"/>
      <c r="AB1765"/>
      <c r="AC1765"/>
    </row>
    <row r="1766" spans="1:29" ht="16.5">
      <c r="D1766" s="274"/>
      <c r="E1766" s="362"/>
      <c r="F1766" s="324"/>
      <c r="J1766" s="274"/>
      <c r="K1766" s="274"/>
      <c r="L1766" s="274"/>
      <c r="M1766" s="274"/>
      <c r="N1766" s="274"/>
      <c r="O1766" s="274"/>
      <c r="Q1766" s="274" t="s">
        <v>605</v>
      </c>
      <c r="S1766" s="274"/>
    </row>
  </sheetData>
  <sheetProtection selectLockedCells="1"/>
  <autoFilter ref="D3:AC805">
    <filterColumn colId="9" showButton="0"/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70:S771 S773:S774 S484 S760:S768">
    <cfRule type="cellIs" dxfId="552" priority="18472" stopIfTrue="1" operator="lessThan">
      <formula>#REF!</formula>
    </cfRule>
  </conditionalFormatting>
  <conditionalFormatting sqref="S769">
    <cfRule type="cellIs" dxfId="551" priority="17235" stopIfTrue="1" operator="lessThan">
      <formula>#REF!</formula>
    </cfRule>
  </conditionalFormatting>
  <conditionalFormatting sqref="S799:S803">
    <cfRule type="cellIs" dxfId="550" priority="17218" stopIfTrue="1" operator="lessThan">
      <formula>#REF!</formula>
    </cfRule>
  </conditionalFormatting>
  <conditionalFormatting sqref="S733 S30 S251 S719:S720 S229:S230 S39:S41 S701 S403:S405 S323:S324 S515 S14 S308 S303 S477 S44:S52 S505 S474 S318 S5 S564:S565 S408 S136 S213:S215 S11 S283 S164 S225:S227 S119:S121 S401 S464 S115 S354 S371 S335:S339 S345:S348 S61:S65 S594:S601 S614:S619">
    <cfRule type="cellIs" dxfId="549" priority="16351" stopIfTrue="1" operator="lessThan">
      <formula>#REF!</formula>
    </cfRule>
  </conditionalFormatting>
  <conditionalFormatting sqref="S775">
    <cfRule type="cellIs" dxfId="548" priority="16258" stopIfTrue="1" operator="lessThan">
      <formula>#REF!</formula>
    </cfRule>
  </conditionalFormatting>
  <conditionalFormatting sqref="S191">
    <cfRule type="cellIs" dxfId="547" priority="14152" stopIfTrue="1" operator="lessThan">
      <formula>#REF!</formula>
    </cfRule>
  </conditionalFormatting>
  <conditionalFormatting sqref="S776">
    <cfRule type="cellIs" dxfId="546" priority="14027" stopIfTrue="1" operator="lessThan">
      <formula>#REF!</formula>
    </cfRule>
  </conditionalFormatting>
  <conditionalFormatting sqref="S778">
    <cfRule type="cellIs" dxfId="545" priority="13768" stopIfTrue="1" operator="lessThan">
      <formula>#REF!</formula>
    </cfRule>
  </conditionalFormatting>
  <conditionalFormatting sqref="S777">
    <cfRule type="cellIs" dxfId="544" priority="13494" stopIfTrue="1" operator="lessThan">
      <formula>#REF!</formula>
    </cfRule>
  </conditionalFormatting>
  <conditionalFormatting sqref="S779">
    <cfRule type="cellIs" dxfId="543" priority="13455" stopIfTrue="1" operator="lessThan">
      <formula>#REF!</formula>
    </cfRule>
  </conditionalFormatting>
  <conditionalFormatting sqref="S781">
    <cfRule type="cellIs" dxfId="542" priority="12914" stopIfTrue="1" operator="lessThan">
      <formula>#REF!</formula>
    </cfRule>
  </conditionalFormatting>
  <conditionalFormatting sqref="S782">
    <cfRule type="cellIs" dxfId="541" priority="12911" stopIfTrue="1" operator="lessThan">
      <formula>#REF!</formula>
    </cfRule>
  </conditionalFormatting>
  <conditionalFormatting sqref="S784">
    <cfRule type="cellIs" dxfId="540" priority="12425" stopIfTrue="1" operator="lessThan">
      <formula>#REF!</formula>
    </cfRule>
  </conditionalFormatting>
  <conditionalFormatting sqref="S784">
    <cfRule type="cellIs" dxfId="539" priority="12424" stopIfTrue="1" operator="lessThan">
      <formula>#REF!</formula>
    </cfRule>
  </conditionalFormatting>
  <conditionalFormatting sqref="S785">
    <cfRule type="cellIs" dxfId="538" priority="12178" stopIfTrue="1" operator="lessThan">
      <formula>#REF!</formula>
    </cfRule>
  </conditionalFormatting>
  <conditionalFormatting sqref="S38">
    <cfRule type="cellIs" dxfId="537" priority="12034" stopIfTrue="1" operator="lessThan">
      <formula>#REF!</formula>
    </cfRule>
  </conditionalFormatting>
  <conditionalFormatting sqref="S804">
    <cfRule type="cellIs" dxfId="536" priority="11794" stopIfTrue="1" operator="lessThan">
      <formula>#REF!</formula>
    </cfRule>
  </conditionalFormatting>
  <conditionalFormatting sqref="S805">
    <cfRule type="cellIs" dxfId="535" priority="11784" stopIfTrue="1" operator="lessThan">
      <formula>#REF!</formula>
    </cfRule>
  </conditionalFormatting>
  <conditionalFormatting sqref="S787">
    <cfRule type="cellIs" dxfId="534" priority="10869" stopIfTrue="1" operator="lessThan">
      <formula>#REF!</formula>
    </cfRule>
  </conditionalFormatting>
  <conditionalFormatting sqref="S788">
    <cfRule type="cellIs" dxfId="533" priority="10588" stopIfTrue="1" operator="lessThan">
      <formula>#REF!</formula>
    </cfRule>
  </conditionalFormatting>
  <conditionalFormatting sqref="S789">
    <cfRule type="cellIs" dxfId="532" priority="10363" stopIfTrue="1" operator="lessThan">
      <formula>#REF!</formula>
    </cfRule>
  </conditionalFormatting>
  <conditionalFormatting sqref="S791">
    <cfRule type="cellIs" dxfId="531" priority="10330" stopIfTrue="1" operator="lessThan">
      <formula>#REF!</formula>
    </cfRule>
  </conditionalFormatting>
  <conditionalFormatting sqref="S790">
    <cfRule type="cellIs" dxfId="530" priority="10331" stopIfTrue="1" operator="lessThan">
      <formula>#REF!</formula>
    </cfRule>
  </conditionalFormatting>
  <conditionalFormatting sqref="S792">
    <cfRule type="cellIs" dxfId="529" priority="10319" stopIfTrue="1" operator="lessThan">
      <formula>#REF!</formula>
    </cfRule>
  </conditionalFormatting>
  <conditionalFormatting sqref="S793">
    <cfRule type="cellIs" dxfId="528" priority="10305" stopIfTrue="1" operator="lessThan">
      <formula>#REF!</formula>
    </cfRule>
  </conditionalFormatting>
  <conditionalFormatting sqref="S794">
    <cfRule type="cellIs" dxfId="527" priority="10304" stopIfTrue="1" operator="lessThan">
      <formula>#REF!</formula>
    </cfRule>
  </conditionalFormatting>
  <conditionalFormatting sqref="S795">
    <cfRule type="cellIs" dxfId="526" priority="10152" stopIfTrue="1" operator="lessThan">
      <formula>#REF!</formula>
    </cfRule>
  </conditionalFormatting>
  <conditionalFormatting sqref="S205">
    <cfRule type="cellIs" dxfId="525" priority="9869" stopIfTrue="1" operator="lessThan">
      <formula>#REF!</formula>
    </cfRule>
  </conditionalFormatting>
  <conditionalFormatting sqref="S796">
    <cfRule type="cellIs" dxfId="524" priority="9854" stopIfTrue="1" operator="lessThan">
      <formula>#REF!</formula>
    </cfRule>
  </conditionalFormatting>
  <conditionalFormatting sqref="S797">
    <cfRule type="cellIs" dxfId="523" priority="9787" stopIfTrue="1" operator="lessThan">
      <formula>#REF!</formula>
    </cfRule>
  </conditionalFormatting>
  <conditionalFormatting sqref="S798">
    <cfRule type="cellIs" dxfId="522" priority="9075" stopIfTrue="1" operator="lessThan">
      <formula>#REF!</formula>
    </cfRule>
  </conditionalFormatting>
  <conditionalFormatting sqref="S737">
    <cfRule type="cellIs" dxfId="521" priority="8100" stopIfTrue="1" operator="lessThan">
      <formula>#REF!</formula>
    </cfRule>
  </conditionalFormatting>
  <conditionalFormatting sqref="S759">
    <cfRule type="cellIs" dxfId="520" priority="7967" stopIfTrue="1" operator="lessThan">
      <formula>#REF!</formula>
    </cfRule>
  </conditionalFormatting>
  <conditionalFormatting sqref="S758">
    <cfRule type="cellIs" dxfId="519" priority="7964" stopIfTrue="1" operator="lessThan">
      <formula>#REF!</formula>
    </cfRule>
  </conditionalFormatting>
  <conditionalFormatting sqref="S757">
    <cfRule type="cellIs" dxfId="518" priority="7965" stopIfTrue="1" operator="lessThan">
      <formula>#REF!</formula>
    </cfRule>
  </conditionalFormatting>
  <conditionalFormatting sqref="S756">
    <cfRule type="cellIs" dxfId="517" priority="7962" stopIfTrue="1" operator="lessThan">
      <formula>#REF!</formula>
    </cfRule>
  </conditionalFormatting>
  <conditionalFormatting sqref="S756">
    <cfRule type="cellIs" dxfId="516" priority="7963" stopIfTrue="1" operator="lessThan">
      <formula>#REF!</formula>
    </cfRule>
  </conditionalFormatting>
  <conditionalFormatting sqref="S739">
    <cfRule type="cellIs" dxfId="515" priority="7961" stopIfTrue="1" operator="lessThan">
      <formula>#REF!</formula>
    </cfRule>
  </conditionalFormatting>
  <conditionalFormatting sqref="S740">
    <cfRule type="cellIs" dxfId="514" priority="7959" stopIfTrue="1" operator="lessThan">
      <formula>#REF!</formula>
    </cfRule>
  </conditionalFormatting>
  <conditionalFormatting sqref="S743">
    <cfRule type="cellIs" dxfId="513" priority="7956" stopIfTrue="1" operator="lessThan">
      <formula>#REF!</formula>
    </cfRule>
  </conditionalFormatting>
  <conditionalFormatting sqref="S742">
    <cfRule type="cellIs" dxfId="512" priority="7954" stopIfTrue="1" operator="lessThan">
      <formula>#REF!</formula>
    </cfRule>
  </conditionalFormatting>
  <conditionalFormatting sqref="S742">
    <cfRule type="cellIs" dxfId="511" priority="7955" stopIfTrue="1" operator="lessThan">
      <formula>#REF!</formula>
    </cfRule>
  </conditionalFormatting>
  <conditionalFormatting sqref="S753">
    <cfRule type="cellIs" dxfId="510" priority="7950" stopIfTrue="1" operator="lessThan">
      <formula>#REF!</formula>
    </cfRule>
  </conditionalFormatting>
  <conditionalFormatting sqref="S738">
    <cfRule type="cellIs" dxfId="509" priority="7948" stopIfTrue="1" operator="lessThan">
      <formula>#REF!</formula>
    </cfRule>
  </conditionalFormatting>
  <conditionalFormatting sqref="S741">
    <cfRule type="cellIs" dxfId="508" priority="7947" stopIfTrue="1" operator="lessThan">
      <formula>#REF!</formula>
    </cfRule>
  </conditionalFormatting>
  <conditionalFormatting sqref="S721">
    <cfRule type="cellIs" dxfId="507" priority="7946" stopIfTrue="1" operator="lessThan">
      <formula>#REF!</formula>
    </cfRule>
  </conditionalFormatting>
  <conditionalFormatting sqref="S745">
    <cfRule type="cellIs" dxfId="506" priority="7867" stopIfTrue="1" operator="lessThan">
      <formula>#REF!</formula>
    </cfRule>
  </conditionalFormatting>
  <conditionalFormatting sqref="S752">
    <cfRule type="cellIs" dxfId="505" priority="7839" stopIfTrue="1" operator="lessThan">
      <formula>#REF!</formula>
    </cfRule>
  </conditionalFormatting>
  <conditionalFormatting sqref="S752">
    <cfRule type="cellIs" dxfId="504" priority="7838" stopIfTrue="1" operator="lessThan">
      <formula>#REF!</formula>
    </cfRule>
  </conditionalFormatting>
  <conditionalFormatting sqref="S755">
    <cfRule type="cellIs" dxfId="503" priority="7836" stopIfTrue="1" operator="lessThan">
      <formula>#REF!</formula>
    </cfRule>
  </conditionalFormatting>
  <conditionalFormatting sqref="S754">
    <cfRule type="cellIs" dxfId="502" priority="7837" stopIfTrue="1" operator="lessThan">
      <formula>#REF!</formula>
    </cfRule>
  </conditionalFormatting>
  <conditionalFormatting sqref="S751">
    <cfRule type="cellIs" dxfId="501" priority="7768" stopIfTrue="1" operator="lessThan">
      <formula>#REF!</formula>
    </cfRule>
  </conditionalFormatting>
  <conditionalFormatting sqref="S750">
    <cfRule type="cellIs" dxfId="500" priority="7766" stopIfTrue="1" operator="lessThan">
      <formula>#REF!</formula>
    </cfRule>
  </conditionalFormatting>
  <conditionalFormatting sqref="S749">
    <cfRule type="cellIs" dxfId="499" priority="7744" stopIfTrue="1" operator="lessThan">
      <formula>#REF!</formula>
    </cfRule>
  </conditionalFormatting>
  <conditionalFormatting sqref="S566">
    <cfRule type="cellIs" dxfId="498" priority="7462" stopIfTrue="1" operator="lessThan">
      <formula>#REF!</formula>
    </cfRule>
  </conditionalFormatting>
  <conditionalFormatting sqref="S545">
    <cfRule type="cellIs" dxfId="497" priority="7422" stopIfTrue="1" operator="lessThan">
      <formula>#REF!</formula>
    </cfRule>
  </conditionalFormatting>
  <conditionalFormatting sqref="S736">
    <cfRule type="cellIs" dxfId="496" priority="7202" stopIfTrue="1" operator="lessThan">
      <formula>#REF!</formula>
    </cfRule>
  </conditionalFormatting>
  <conditionalFormatting sqref="S35">
    <cfRule type="cellIs" dxfId="495" priority="7030" stopIfTrue="1" operator="lessThan">
      <formula>#REF!</formula>
    </cfRule>
  </conditionalFormatting>
  <conditionalFormatting sqref="S35">
    <cfRule type="cellIs" dxfId="494" priority="7029" stopIfTrue="1" operator="lessThan">
      <formula>#REF!</formula>
    </cfRule>
  </conditionalFormatting>
  <conditionalFormatting sqref="S734">
    <cfRule type="cellIs" dxfId="493" priority="6855" stopIfTrue="1" operator="lessThan">
      <formula>#REF!</formula>
    </cfRule>
  </conditionalFormatting>
  <conditionalFormatting sqref="S207">
    <cfRule type="cellIs" dxfId="492" priority="6834" stopIfTrue="1" operator="lessThan">
      <formula>#REF!</formula>
    </cfRule>
  </conditionalFormatting>
  <conditionalFormatting sqref="S210">
    <cfRule type="cellIs" dxfId="491" priority="6826" stopIfTrue="1" operator="lessThan">
      <formula>#REF!</formula>
    </cfRule>
  </conditionalFormatting>
  <conditionalFormatting sqref="S210">
    <cfRule type="cellIs" dxfId="490" priority="6825" stopIfTrue="1" operator="lessThan">
      <formula>#REF!</formula>
    </cfRule>
  </conditionalFormatting>
  <conditionalFormatting sqref="S732">
    <cfRule type="cellIs" dxfId="489" priority="6664" stopIfTrue="1" operator="lessThan">
      <formula>#REF!</formula>
    </cfRule>
  </conditionalFormatting>
  <conditionalFormatting sqref="S732">
    <cfRule type="cellIs" dxfId="488" priority="6663" stopIfTrue="1" operator="lessThan">
      <formula>#REF!</formula>
    </cfRule>
  </conditionalFormatting>
  <conditionalFormatting sqref="S34">
    <cfRule type="cellIs" dxfId="487" priority="6380" stopIfTrue="1" operator="lessThan">
      <formula>#REF!</formula>
    </cfRule>
  </conditionalFormatting>
  <conditionalFormatting sqref="S555">
    <cfRule type="cellIs" dxfId="486" priority="6310" stopIfTrue="1" operator="lessThan">
      <formula>#REF!</formula>
    </cfRule>
  </conditionalFormatting>
  <conditionalFormatting sqref="S555">
    <cfRule type="cellIs" dxfId="485" priority="6309" stopIfTrue="1" operator="lessThan">
      <formula>#REF!</formula>
    </cfRule>
  </conditionalFormatting>
  <conditionalFormatting sqref="S256">
    <cfRule type="cellIs" dxfId="484" priority="6204" stopIfTrue="1" operator="lessThan">
      <formula>#REF!</formula>
    </cfRule>
  </conditionalFormatting>
  <conditionalFormatting sqref="S256">
    <cfRule type="cellIs" dxfId="483" priority="6203" stopIfTrue="1" operator="lessThan">
      <formula>#REF!</formula>
    </cfRule>
  </conditionalFormatting>
  <conditionalFormatting sqref="S557">
    <cfRule type="cellIs" dxfId="482" priority="6141" stopIfTrue="1" operator="lessThan">
      <formula>#REF!</formula>
    </cfRule>
  </conditionalFormatting>
  <conditionalFormatting sqref="S53">
    <cfRule type="cellIs" dxfId="481" priority="6069" stopIfTrue="1" operator="lessThan">
      <formula>#REF!</formula>
    </cfRule>
  </conditionalFormatting>
  <conditionalFormatting sqref="S547">
    <cfRule type="cellIs" dxfId="480" priority="5811" stopIfTrue="1" operator="lessThan">
      <formula>#REF!</formula>
    </cfRule>
  </conditionalFormatting>
  <conditionalFormatting sqref="S546">
    <cfRule type="cellIs" dxfId="479" priority="5735" stopIfTrue="1" operator="lessThan">
      <formula>#REF!</formula>
    </cfRule>
  </conditionalFormatting>
  <conditionalFormatting sqref="S556">
    <cfRule type="cellIs" dxfId="478" priority="5692" stopIfTrue="1" operator="lessThan">
      <formula>#REF!</formula>
    </cfRule>
  </conditionalFormatting>
  <conditionalFormatting sqref="S81">
    <cfRule type="cellIs" dxfId="477" priority="5667" stopIfTrue="1" operator="lessThan">
      <formula>#REF!</formula>
    </cfRule>
  </conditionalFormatting>
  <conditionalFormatting sqref="S42">
    <cfRule type="cellIs" dxfId="476" priority="5664" stopIfTrue="1" operator="lessThan">
      <formula>#REF!</formula>
    </cfRule>
  </conditionalFormatting>
  <conditionalFormatting sqref="S42">
    <cfRule type="cellIs" dxfId="475" priority="5665" stopIfTrue="1" operator="lessThan">
      <formula>#REF!</formula>
    </cfRule>
  </conditionalFormatting>
  <conditionalFormatting sqref="S548">
    <cfRule type="cellIs" dxfId="474" priority="5662" stopIfTrue="1" operator="lessThan">
      <formula>#REF!</formula>
    </cfRule>
  </conditionalFormatting>
  <conditionalFormatting sqref="S270">
    <cfRule type="cellIs" dxfId="473" priority="5558" stopIfTrue="1" operator="lessThan">
      <formula>#REF!</formula>
    </cfRule>
  </conditionalFormatting>
  <conditionalFormatting sqref="S108">
    <cfRule type="cellIs" dxfId="472" priority="5578" stopIfTrue="1" operator="lessThan">
      <formula>#REF!</formula>
    </cfRule>
  </conditionalFormatting>
  <conditionalFormatting sqref="S107">
    <cfRule type="cellIs" dxfId="471" priority="5576" stopIfTrue="1" operator="lessThan">
      <formula>#REF!</formula>
    </cfRule>
  </conditionalFormatting>
  <conditionalFormatting sqref="S552:S554">
    <cfRule type="cellIs" dxfId="470" priority="5514" stopIfTrue="1" operator="lessThan">
      <formula>#REF!</formula>
    </cfRule>
  </conditionalFormatting>
  <conditionalFormatting sqref="S552:S554">
    <cfRule type="cellIs" dxfId="469" priority="5513" stopIfTrue="1" operator="lessThan">
      <formula>#REF!</formula>
    </cfRule>
  </conditionalFormatting>
  <conditionalFormatting sqref="S228">
    <cfRule type="cellIs" dxfId="468" priority="5506" stopIfTrue="1" operator="lessThan">
      <formula>#REF!</formula>
    </cfRule>
  </conditionalFormatting>
  <conditionalFormatting sqref="S228">
    <cfRule type="cellIs" dxfId="467" priority="5505" stopIfTrue="1" operator="lessThan">
      <formula>#REF!</formula>
    </cfRule>
  </conditionalFormatting>
  <conditionalFormatting sqref="S551">
    <cfRule type="cellIs" dxfId="466" priority="5478" stopIfTrue="1" operator="lessThan">
      <formula>#REF!</formula>
    </cfRule>
  </conditionalFormatting>
  <conditionalFormatting sqref="S549:S550">
    <cfRule type="cellIs" dxfId="465" priority="5474" stopIfTrue="1" operator="lessThan">
      <formula>#REF!</formula>
    </cfRule>
  </conditionalFormatting>
  <conditionalFormatting sqref="S560">
    <cfRule type="cellIs" dxfId="464" priority="5453" stopIfTrue="1" operator="lessThan">
      <formula>#REF!</formula>
    </cfRule>
  </conditionalFormatting>
  <conditionalFormatting sqref="S730">
    <cfRule type="cellIs" dxfId="463" priority="5444" stopIfTrue="1" operator="lessThan">
      <formula>#REF!</formula>
    </cfRule>
  </conditionalFormatting>
  <conditionalFormatting sqref="S472">
    <cfRule type="cellIs" dxfId="462" priority="5410" stopIfTrue="1" operator="lessThan">
      <formula>#REF!</formula>
    </cfRule>
  </conditionalFormatting>
  <conditionalFormatting sqref="S208">
    <cfRule type="cellIs" dxfId="461" priority="5370" stopIfTrue="1" operator="lessThan">
      <formula>#REF!</formula>
    </cfRule>
  </conditionalFormatting>
  <conditionalFormatting sqref="S208">
    <cfRule type="cellIs" dxfId="460" priority="5369" stopIfTrue="1" operator="lessThan">
      <formula>#REF!</formula>
    </cfRule>
  </conditionalFormatting>
  <conditionalFormatting sqref="S267">
    <cfRule type="cellIs" dxfId="459" priority="5356" stopIfTrue="1" operator="lessThan">
      <formula>#REF!</formula>
    </cfRule>
  </conditionalFormatting>
  <conditionalFormatting sqref="S731">
    <cfRule type="cellIs" dxfId="458" priority="5350" stopIfTrue="1" operator="lessThan">
      <formula>#REF!</formula>
    </cfRule>
  </conditionalFormatting>
  <conditionalFormatting sqref="S36">
    <cfRule type="cellIs" dxfId="457" priority="5296" stopIfTrue="1" operator="lessThan">
      <formula>#REF!</formula>
    </cfRule>
  </conditionalFormatting>
  <conditionalFormatting sqref="S312">
    <cfRule type="cellIs" dxfId="456" priority="5250" stopIfTrue="1" operator="lessThan">
      <formula>#REF!</formula>
    </cfRule>
  </conditionalFormatting>
  <conditionalFormatting sqref="S327:S329">
    <cfRule type="cellIs" dxfId="455" priority="5194" stopIfTrue="1" operator="lessThan">
      <formula>#REF!</formula>
    </cfRule>
  </conditionalFormatting>
  <conditionalFormatting sqref="S246">
    <cfRule type="cellIs" dxfId="454" priority="5192" stopIfTrue="1" operator="lessThan">
      <formula>#REF!</formula>
    </cfRule>
  </conditionalFormatting>
  <conditionalFormatting sqref="S127">
    <cfRule type="cellIs" dxfId="453" priority="5187" stopIfTrue="1" operator="lessThan">
      <formula>#REF!</formula>
    </cfRule>
  </conditionalFormatting>
  <conditionalFormatting sqref="S559">
    <cfRule type="cellIs" dxfId="452" priority="5184" stopIfTrue="1" operator="lessThan">
      <formula>#REF!</formula>
    </cfRule>
  </conditionalFormatting>
  <conditionalFormatting sqref="S558">
    <cfRule type="cellIs" dxfId="451" priority="5180" stopIfTrue="1" operator="lessThan">
      <formula>#REF!</formula>
    </cfRule>
  </conditionalFormatting>
  <conditionalFormatting sqref="S257">
    <cfRule type="cellIs" dxfId="450" priority="5173" stopIfTrue="1" operator="lessThan">
      <formula>#REF!</formula>
    </cfRule>
  </conditionalFormatting>
  <conditionalFormatting sqref="S19">
    <cfRule type="cellIs" dxfId="449" priority="5163" stopIfTrue="1" operator="lessThan">
      <formula>#REF!</formula>
    </cfRule>
  </conditionalFormatting>
  <conditionalFormatting sqref="S145">
    <cfRule type="cellIs" dxfId="448" priority="5154" stopIfTrue="1" operator="lessThan">
      <formula>#REF!</formula>
    </cfRule>
  </conditionalFormatting>
  <conditionalFormatting sqref="S234">
    <cfRule type="cellIs" dxfId="447" priority="5152" stopIfTrue="1" operator="lessThan">
      <formula>#REF!</formula>
    </cfRule>
  </conditionalFormatting>
  <conditionalFormatting sqref="S212">
    <cfRule type="cellIs" dxfId="446" priority="5149" stopIfTrue="1" operator="lessThan">
      <formula>#REF!</formula>
    </cfRule>
  </conditionalFormatting>
  <conditionalFormatting sqref="S212">
    <cfRule type="cellIs" dxfId="445" priority="5148" stopIfTrue="1" operator="lessThan">
      <formula>#REF!</formula>
    </cfRule>
  </conditionalFormatting>
  <conditionalFormatting sqref="S37">
    <cfRule type="cellIs" dxfId="444" priority="5116" stopIfTrue="1" operator="lessThan">
      <formula>#REF!</formula>
    </cfRule>
  </conditionalFormatting>
  <conditionalFormatting sqref="S245">
    <cfRule type="cellIs" dxfId="443" priority="5093" stopIfTrue="1" operator="lessThan">
      <formula>#REF!</formula>
    </cfRule>
  </conditionalFormatting>
  <conditionalFormatting sqref="S272">
    <cfRule type="cellIs" dxfId="442" priority="5108" stopIfTrue="1" operator="lessThan">
      <formula>#REF!</formula>
    </cfRule>
  </conditionalFormatting>
  <conditionalFormatting sqref="S54">
    <cfRule type="cellIs" dxfId="441" priority="5081" stopIfTrue="1" operator="lessThan">
      <formula>#REF!</formula>
    </cfRule>
  </conditionalFormatting>
  <conditionalFormatting sqref="S265">
    <cfRule type="cellIs" dxfId="440" priority="5076" stopIfTrue="1" operator="lessThan">
      <formula>#REF!</formula>
    </cfRule>
  </conditionalFormatting>
  <conditionalFormatting sqref="S263:S264">
    <cfRule type="cellIs" dxfId="439" priority="5075" stopIfTrue="1" operator="lessThan">
      <formula>#REF!</formula>
    </cfRule>
  </conditionalFormatting>
  <conditionalFormatting sqref="S255">
    <cfRule type="cellIs" dxfId="438" priority="5070" stopIfTrue="1" operator="lessThan">
      <formula>#REF!</formula>
    </cfRule>
  </conditionalFormatting>
  <conditionalFormatting sqref="S170">
    <cfRule type="cellIs" dxfId="437" priority="5061" stopIfTrue="1" operator="lessThan">
      <formula>#REF!</formula>
    </cfRule>
  </conditionalFormatting>
  <conditionalFormatting sqref="S169">
    <cfRule type="cellIs" dxfId="436" priority="5060" stopIfTrue="1" operator="lessThan">
      <formula>#REF!</formula>
    </cfRule>
  </conditionalFormatting>
  <conditionalFormatting sqref="S317">
    <cfRule type="cellIs" dxfId="435" priority="5041" stopIfTrue="1" operator="lessThan">
      <formula>#REF!</formula>
    </cfRule>
  </conditionalFormatting>
  <conditionalFormatting sqref="S317">
    <cfRule type="cellIs" dxfId="434" priority="5042" stopIfTrue="1" operator="lessThan">
      <formula>#REF!</formula>
    </cfRule>
  </conditionalFormatting>
  <conditionalFormatting sqref="S262">
    <cfRule type="cellIs" dxfId="433" priority="5038" stopIfTrue="1" operator="lessThan">
      <formula>#REF!</formula>
    </cfRule>
  </conditionalFormatting>
  <conditionalFormatting sqref="S729">
    <cfRule type="cellIs" dxfId="432" priority="5036" stopIfTrue="1" operator="lessThan">
      <formula>#REF!</formula>
    </cfRule>
  </conditionalFormatting>
  <conditionalFormatting sqref="S728">
    <cfRule type="cellIs" dxfId="431" priority="5002" stopIfTrue="1" operator="lessThan">
      <formula>#REF!</formula>
    </cfRule>
  </conditionalFormatting>
  <conditionalFormatting sqref="S215">
    <cfRule type="cellIs" dxfId="430" priority="5001" stopIfTrue="1" operator="lessThan">
      <formula>#REF!</formula>
    </cfRule>
  </conditionalFormatting>
  <conditionalFormatting sqref="S215">
    <cfRule type="cellIs" dxfId="429" priority="5000" stopIfTrue="1" operator="lessThan">
      <formula>#REF!</formula>
    </cfRule>
  </conditionalFormatting>
  <conditionalFormatting sqref="S313">
    <cfRule type="cellIs" dxfId="428" priority="4995" stopIfTrue="1" operator="lessThan">
      <formula>#REF!</formula>
    </cfRule>
  </conditionalFormatting>
  <conditionalFormatting sqref="S258">
    <cfRule type="cellIs" dxfId="427" priority="4981" stopIfTrue="1" operator="lessThan">
      <formula>#REF!</formula>
    </cfRule>
  </conditionalFormatting>
  <conditionalFormatting sqref="S250">
    <cfRule type="cellIs" dxfId="426" priority="4980" stopIfTrue="1" operator="lessThan">
      <formula>#REF!</formula>
    </cfRule>
  </conditionalFormatting>
  <conditionalFormatting sqref="S505">
    <cfRule type="cellIs" dxfId="425" priority="4974" stopIfTrue="1" operator="lessThan">
      <formula>#REF!</formula>
    </cfRule>
  </conditionalFormatting>
  <conditionalFormatting sqref="S514">
    <cfRule type="cellIs" dxfId="424" priority="4975" stopIfTrue="1" operator="lessThan">
      <formula>#REF!</formula>
    </cfRule>
  </conditionalFormatting>
  <conditionalFormatting sqref="S504">
    <cfRule type="cellIs" dxfId="423" priority="4973" stopIfTrue="1" operator="lessThan">
      <formula>#REF!</formula>
    </cfRule>
  </conditionalFormatting>
  <conditionalFormatting sqref="S29">
    <cfRule type="cellIs" dxfId="422" priority="4915" stopIfTrue="1" operator="lessThan">
      <formula>#REF!</formula>
    </cfRule>
  </conditionalFormatting>
  <conditionalFormatting sqref="S260">
    <cfRule type="cellIs" dxfId="421" priority="4891" stopIfTrue="1" operator="lessThan">
      <formula>#REF!</formula>
    </cfRule>
  </conditionalFormatting>
  <conditionalFormatting sqref="S331">
    <cfRule type="cellIs" dxfId="420" priority="4911" stopIfTrue="1" operator="lessThan">
      <formula>#REF!</formula>
    </cfRule>
  </conditionalFormatting>
  <conditionalFormatting sqref="S259">
    <cfRule type="cellIs" dxfId="419" priority="4890" stopIfTrue="1" operator="lessThan">
      <formula>#REF!</formula>
    </cfRule>
  </conditionalFormatting>
  <conditionalFormatting sqref="S235">
    <cfRule type="cellIs" dxfId="418" priority="4902" stopIfTrue="1" operator="lessThan">
      <formula>#REF!</formula>
    </cfRule>
  </conditionalFormatting>
  <conditionalFormatting sqref="S248">
    <cfRule type="cellIs" dxfId="417" priority="4886" stopIfTrue="1" operator="lessThan">
      <formula>#REF!</formula>
    </cfRule>
  </conditionalFormatting>
  <conditionalFormatting sqref="S402">
    <cfRule type="cellIs" dxfId="416" priority="4877" stopIfTrue="1" operator="lessThan">
      <formula>#REF!</formula>
    </cfRule>
  </conditionalFormatting>
  <conditionalFormatting sqref="S271">
    <cfRule type="cellIs" dxfId="415" priority="4885" stopIfTrue="1" operator="lessThan">
      <formula>#REF!</formula>
    </cfRule>
  </conditionalFormatting>
  <conditionalFormatting sqref="S247">
    <cfRule type="cellIs" dxfId="414" priority="4844" stopIfTrue="1" operator="lessThan">
      <formula>#REF!</formula>
    </cfRule>
  </conditionalFormatting>
  <conditionalFormatting sqref="S33">
    <cfRule type="cellIs" dxfId="413" priority="4843" stopIfTrue="1" operator="lessThan">
      <formula>#REF!</formula>
    </cfRule>
  </conditionalFormatting>
  <conditionalFormatting sqref="S202">
    <cfRule type="cellIs" dxfId="412" priority="4798" stopIfTrue="1" operator="lessThan">
      <formula>#REF!</formula>
    </cfRule>
  </conditionalFormatting>
  <conditionalFormatting sqref="S266">
    <cfRule type="cellIs" dxfId="411" priority="4617" stopIfTrue="1" operator="lessThan">
      <formula>#REF!</formula>
    </cfRule>
  </conditionalFormatting>
  <conditionalFormatting sqref="S31">
    <cfRule type="cellIs" dxfId="410" priority="4553" stopIfTrue="1" operator="lessThan">
      <formula>#REF!</formula>
    </cfRule>
  </conditionalFormatting>
  <conditionalFormatting sqref="S281">
    <cfRule type="cellIs" dxfId="409" priority="4493" stopIfTrue="1" operator="lessThan">
      <formula>#REF!</formula>
    </cfRule>
  </conditionalFormatting>
  <conditionalFormatting sqref="S718">
    <cfRule type="cellIs" dxfId="408" priority="4464" stopIfTrue="1" operator="lessThan">
      <formula>#REF!</formula>
    </cfRule>
  </conditionalFormatting>
  <conditionalFormatting sqref="S727">
    <cfRule type="cellIs" dxfId="407" priority="4437" stopIfTrue="1" operator="lessThan">
      <formula>#REF!</formula>
    </cfRule>
  </conditionalFormatting>
  <conditionalFormatting sqref="S726">
    <cfRule type="cellIs" dxfId="406" priority="4398" stopIfTrue="1" operator="lessThan">
      <formula>#REF!</formula>
    </cfRule>
  </conditionalFormatting>
  <conditionalFormatting sqref="S725">
    <cfRule type="cellIs" dxfId="405" priority="4375" stopIfTrue="1" operator="lessThan">
      <formula>#REF!</formula>
    </cfRule>
  </conditionalFormatting>
  <conditionalFormatting sqref="S249">
    <cfRule type="cellIs" dxfId="404" priority="4347" stopIfTrue="1" operator="lessThan">
      <formula>#REF!</formula>
    </cfRule>
  </conditionalFormatting>
  <conditionalFormatting sqref="S717">
    <cfRule type="cellIs" dxfId="403" priority="4366" stopIfTrue="1" operator="lessThan">
      <formula>#REF!</formula>
    </cfRule>
  </conditionalFormatting>
  <conditionalFormatting sqref="S714">
    <cfRule type="cellIs" dxfId="402" priority="4329" stopIfTrue="1" operator="lessThan">
      <formula>#REF!</formula>
    </cfRule>
  </conditionalFormatting>
  <conditionalFormatting sqref="S715">
    <cfRule type="cellIs" dxfId="401" priority="4328" stopIfTrue="1" operator="lessThan">
      <formula>#REF!</formula>
    </cfRule>
  </conditionalFormatting>
  <conditionalFormatting sqref="S716">
    <cfRule type="cellIs" dxfId="400" priority="4294" stopIfTrue="1" operator="lessThan">
      <formula>#REF!</formula>
    </cfRule>
  </conditionalFormatting>
  <conditionalFormatting sqref="S713">
    <cfRule type="cellIs" dxfId="399" priority="4281" stopIfTrue="1" operator="lessThan">
      <formula>#REF!</formula>
    </cfRule>
  </conditionalFormatting>
  <conditionalFormatting sqref="S711:S712">
    <cfRule type="cellIs" dxfId="398" priority="4280" stopIfTrue="1" operator="lessThan">
      <formula>#REF!</formula>
    </cfRule>
  </conditionalFormatting>
  <conditionalFormatting sqref="S708">
    <cfRule type="cellIs" dxfId="397" priority="4279" stopIfTrue="1" operator="lessThan">
      <formula>#REF!</formula>
    </cfRule>
  </conditionalFormatting>
  <conditionalFormatting sqref="S709:S710">
    <cfRule type="cellIs" dxfId="396" priority="4278" stopIfTrue="1" operator="lessThan">
      <formula>#REF!</formula>
    </cfRule>
  </conditionalFormatting>
  <conditionalFormatting sqref="S707">
    <cfRule type="cellIs" dxfId="395" priority="4273" stopIfTrue="1" operator="lessThan">
      <formula>#REF!</formula>
    </cfRule>
  </conditionalFormatting>
  <conditionalFormatting sqref="S244">
    <cfRule type="cellIs" dxfId="394" priority="4132" stopIfTrue="1" operator="lessThan">
      <formula>#REF!</formula>
    </cfRule>
  </conditionalFormatting>
  <conditionalFormatting sqref="S12">
    <cfRule type="cellIs" dxfId="393" priority="4140" stopIfTrue="1" operator="lessThan">
      <formula>#REF!</formula>
    </cfRule>
  </conditionalFormatting>
  <conditionalFormatting sqref="S32">
    <cfRule type="cellIs" dxfId="392" priority="4111" stopIfTrue="1" operator="lessThan">
      <formula>#REF!</formula>
    </cfRule>
  </conditionalFormatting>
  <conditionalFormatting sqref="S705">
    <cfRule type="cellIs" dxfId="391" priority="4082" stopIfTrue="1" operator="lessThan">
      <formula>#REF!</formula>
    </cfRule>
  </conditionalFormatting>
  <conditionalFormatting sqref="S231">
    <cfRule type="cellIs" dxfId="390" priority="4075" stopIfTrue="1" operator="lessThan">
      <formula>#REF!</formula>
    </cfRule>
  </conditionalFormatting>
  <conditionalFormatting sqref="S233">
    <cfRule type="cellIs" dxfId="389" priority="4073" stopIfTrue="1" operator="lessThan">
      <formula>#REF!</formula>
    </cfRule>
  </conditionalFormatting>
  <conditionalFormatting sqref="S704">
    <cfRule type="cellIs" dxfId="388" priority="4066" stopIfTrue="1" operator="lessThan">
      <formula>#REF!</formula>
    </cfRule>
  </conditionalFormatting>
  <conditionalFormatting sqref="S702">
    <cfRule type="cellIs" dxfId="387" priority="3991" stopIfTrue="1" operator="lessThan">
      <formula>#REF!</formula>
    </cfRule>
  </conditionalFormatting>
  <conditionalFormatting sqref="S286">
    <cfRule type="cellIs" dxfId="386" priority="3943" stopIfTrue="1" operator="lessThan">
      <formula>#REF!</formula>
    </cfRule>
  </conditionalFormatting>
  <conditionalFormatting sqref="S133">
    <cfRule type="cellIs" dxfId="385" priority="3871" stopIfTrue="1" operator="lessThan">
      <formula>#REF!</formula>
    </cfRule>
  </conditionalFormatting>
  <conditionalFormatting sqref="S700">
    <cfRule type="cellIs" dxfId="384" priority="3916" stopIfTrue="1" operator="lessThan">
      <formula>#REF!</formula>
    </cfRule>
  </conditionalFormatting>
  <conditionalFormatting sqref="S699">
    <cfRule type="cellIs" dxfId="383" priority="3915" stopIfTrue="1" operator="lessThan">
      <formula>#REF!</formula>
    </cfRule>
  </conditionalFormatting>
  <conditionalFormatting sqref="S698">
    <cfRule type="cellIs" dxfId="382" priority="3882" stopIfTrue="1" operator="lessThan">
      <formula>#REF!</formula>
    </cfRule>
  </conditionalFormatting>
  <conditionalFormatting sqref="S698">
    <cfRule type="cellIs" dxfId="381" priority="3881" stopIfTrue="1" operator="lessThan">
      <formula>#REF!</formula>
    </cfRule>
  </conditionalFormatting>
  <conditionalFormatting sqref="S473">
    <cfRule type="cellIs" dxfId="380" priority="3863" stopIfTrue="1" operator="lessThan">
      <formula>#REF!</formula>
    </cfRule>
  </conditionalFormatting>
  <conditionalFormatting sqref="S697">
    <cfRule type="cellIs" dxfId="379" priority="3861" stopIfTrue="1" operator="lessThan">
      <formula>#REF!</formula>
    </cfRule>
  </conditionalFormatting>
  <conditionalFormatting sqref="S696">
    <cfRule type="cellIs" dxfId="378" priority="3830" stopIfTrue="1" operator="lessThan">
      <formula>#REF!</formula>
    </cfRule>
  </conditionalFormatting>
  <conditionalFormatting sqref="S645">
    <cfRule type="cellIs" dxfId="377" priority="3660" stopIfTrue="1" operator="lessThan">
      <formula>#REF!</formula>
    </cfRule>
  </conditionalFormatting>
  <conditionalFormatting sqref="S693">
    <cfRule type="cellIs" dxfId="376" priority="3535" stopIfTrue="1" operator="lessThan">
      <formula>#REF!</formula>
    </cfRule>
  </conditionalFormatting>
  <conditionalFormatting sqref="S320">
    <cfRule type="cellIs" dxfId="375" priority="3526" stopIfTrue="1" operator="lessThan">
      <formula>#REF!</formula>
    </cfRule>
  </conditionalFormatting>
  <conditionalFormatting sqref="S261">
    <cfRule type="cellIs" dxfId="374" priority="3523" stopIfTrue="1" operator="lessThan">
      <formula>#REF!</formula>
    </cfRule>
  </conditionalFormatting>
  <conditionalFormatting sqref="S692">
    <cfRule type="cellIs" dxfId="373" priority="3422" stopIfTrue="1" operator="lessThan">
      <formula>#REF!</formula>
    </cfRule>
  </conditionalFormatting>
  <conditionalFormatting sqref="S691">
    <cfRule type="cellIs" dxfId="372" priority="3397" stopIfTrue="1" operator="lessThan">
      <formula>#REF!</formula>
    </cfRule>
  </conditionalFormatting>
  <conditionalFormatting sqref="S135">
    <cfRule type="cellIs" dxfId="371" priority="3377" stopIfTrue="1" operator="lessThan">
      <formula>#REF!</formula>
    </cfRule>
  </conditionalFormatting>
  <conditionalFormatting sqref="S135">
    <cfRule type="cellIs" dxfId="370" priority="3376" stopIfTrue="1" operator="lessThan">
      <formula>#REF!</formula>
    </cfRule>
  </conditionalFormatting>
  <conditionalFormatting sqref="S232">
    <cfRule type="cellIs" dxfId="369" priority="3367" stopIfTrue="1" operator="lessThan">
      <formula>#REF!</formula>
    </cfRule>
  </conditionalFormatting>
  <conditionalFormatting sqref="S232">
    <cfRule type="cellIs" dxfId="368" priority="3366" stopIfTrue="1" operator="lessThan">
      <formula>#REF!</formula>
    </cfRule>
  </conditionalFormatting>
  <conditionalFormatting sqref="S467">
    <cfRule type="cellIs" dxfId="367" priority="3353" stopIfTrue="1" operator="lessThan">
      <formula>#REF!</formula>
    </cfRule>
  </conditionalFormatting>
  <conditionalFormatting sqref="S467">
    <cfRule type="cellIs" dxfId="366" priority="3352" stopIfTrue="1" operator="lessThan">
      <formula>#REF!</formula>
    </cfRule>
  </conditionalFormatting>
  <conditionalFormatting sqref="S476">
    <cfRule type="cellIs" dxfId="365" priority="3345" stopIfTrue="1" operator="lessThan">
      <formula>#REF!</formula>
    </cfRule>
  </conditionalFormatting>
  <conditionalFormatting sqref="S476">
    <cfRule type="cellIs" dxfId="364" priority="3344" stopIfTrue="1" operator="lessThan">
      <formula>#REF!</formula>
    </cfRule>
  </conditionalFormatting>
  <conditionalFormatting sqref="S486">
    <cfRule type="cellIs" dxfId="363" priority="3338" stopIfTrue="1" operator="lessThan">
      <formula>#REF!</formula>
    </cfRule>
  </conditionalFormatting>
  <conditionalFormatting sqref="S486">
    <cfRule type="cellIs" dxfId="362" priority="3339" stopIfTrue="1" operator="lessThan">
      <formula>#REF!</formula>
    </cfRule>
  </conditionalFormatting>
  <conditionalFormatting sqref="S561">
    <cfRule type="cellIs" dxfId="361" priority="3326" stopIfTrue="1" operator="lessThan">
      <formula>#REF!</formula>
    </cfRule>
  </conditionalFormatting>
  <conditionalFormatting sqref="S561">
    <cfRule type="cellIs" dxfId="360" priority="3327" stopIfTrue="1" operator="lessThan">
      <formula>#REF!</formula>
    </cfRule>
  </conditionalFormatting>
  <conditionalFormatting sqref="S309">
    <cfRule type="cellIs" dxfId="359" priority="3301" stopIfTrue="1" operator="lessThan">
      <formula>#REF!</formula>
    </cfRule>
  </conditionalFormatting>
  <conditionalFormatting sqref="S689">
    <cfRule type="cellIs" dxfId="358" priority="3289" stopIfTrue="1" operator="lessThan">
      <formula>#REF!</formula>
    </cfRule>
  </conditionalFormatting>
  <conditionalFormatting sqref="S689">
    <cfRule type="cellIs" dxfId="357" priority="3288" stopIfTrue="1" operator="lessThan">
      <formula>#REF!</formula>
    </cfRule>
  </conditionalFormatting>
  <conditionalFormatting sqref="S690">
    <cfRule type="cellIs" dxfId="356" priority="3287" stopIfTrue="1" operator="lessThan">
      <formula>#REF!</formula>
    </cfRule>
  </conditionalFormatting>
  <conditionalFormatting sqref="S690">
    <cfRule type="cellIs" dxfId="355" priority="3286" stopIfTrue="1" operator="lessThan">
      <formula>#REF!</formula>
    </cfRule>
  </conditionalFormatting>
  <conditionalFormatting sqref="S314">
    <cfRule type="cellIs" dxfId="354" priority="3221" stopIfTrue="1" operator="lessThan">
      <formula>#REF!</formula>
    </cfRule>
  </conditionalFormatting>
  <conditionalFormatting sqref="S478:S479">
    <cfRule type="cellIs" dxfId="353" priority="3218" stopIfTrue="1" operator="lessThan">
      <formula>#REF!</formula>
    </cfRule>
  </conditionalFormatting>
  <conditionalFormatting sqref="S688">
    <cfRule type="cellIs" dxfId="352" priority="3134" stopIfTrue="1" operator="lessThan">
      <formula>#REF!</formula>
    </cfRule>
  </conditionalFormatting>
  <conditionalFormatting sqref="S688">
    <cfRule type="cellIs" dxfId="351" priority="3133" stopIfTrue="1" operator="lessThan">
      <formula>#REF!</formula>
    </cfRule>
  </conditionalFormatting>
  <conditionalFormatting sqref="S687">
    <cfRule type="cellIs" dxfId="350" priority="3070" stopIfTrue="1" operator="lessThan">
      <formula>#REF!</formula>
    </cfRule>
  </conditionalFormatting>
  <conditionalFormatting sqref="S537">
    <cfRule type="cellIs" dxfId="349" priority="3065" stopIfTrue="1" operator="lessThan">
      <formula>#REF!</formula>
    </cfRule>
  </conditionalFormatting>
  <conditionalFormatting sqref="S686">
    <cfRule type="cellIs" dxfId="348" priority="3059" stopIfTrue="1" operator="lessThan">
      <formula>#REF!</formula>
    </cfRule>
  </conditionalFormatting>
  <conditionalFormatting sqref="S685">
    <cfRule type="cellIs" dxfId="347" priority="2876" stopIfTrue="1" operator="lessThan">
      <formula>#REF!</formula>
    </cfRule>
  </conditionalFormatting>
  <conditionalFormatting sqref="S307">
    <cfRule type="cellIs" dxfId="346" priority="2816" stopIfTrue="1" operator="lessThan">
      <formula>#REF!</formula>
    </cfRule>
  </conditionalFormatting>
  <conditionalFormatting sqref="S225">
    <cfRule type="cellIs" dxfId="345" priority="2812" stopIfTrue="1" operator="lessThan">
      <formula>#REF!</formula>
    </cfRule>
  </conditionalFormatting>
  <conditionalFormatting sqref="S227">
    <cfRule type="cellIs" dxfId="344" priority="2806" stopIfTrue="1" operator="lessThan">
      <formula>#REF!</formula>
    </cfRule>
  </conditionalFormatting>
  <conditionalFormatting sqref="S226">
    <cfRule type="cellIs" dxfId="343" priority="2808" stopIfTrue="1" operator="lessThan">
      <formula>#REF!</formula>
    </cfRule>
  </conditionalFormatting>
  <conditionalFormatting sqref="S28">
    <cfRule type="cellIs" dxfId="342" priority="2787" stopIfTrue="1" operator="lessThan">
      <formula>#REF!</formula>
    </cfRule>
  </conditionalFormatting>
  <conditionalFormatting sqref="S384">
    <cfRule type="cellIs" dxfId="341" priority="2778" stopIfTrue="1" operator="lessThan">
      <formula>#REF!</formula>
    </cfRule>
  </conditionalFormatting>
  <conditionalFormatting sqref="S384">
    <cfRule type="cellIs" dxfId="340" priority="2777" stopIfTrue="1" operator="lessThan">
      <formula>#REF!</formula>
    </cfRule>
  </conditionalFormatting>
  <conditionalFormatting sqref="S18">
    <cfRule type="cellIs" dxfId="339" priority="2776" stopIfTrue="1" operator="lessThan">
      <formula>#REF!</formula>
    </cfRule>
  </conditionalFormatting>
  <conditionalFormatting sqref="S80">
    <cfRule type="cellIs" dxfId="338" priority="2775" stopIfTrue="1" operator="lessThan">
      <formula>#REF!</formula>
    </cfRule>
  </conditionalFormatting>
  <conditionalFormatting sqref="S280">
    <cfRule type="cellIs" dxfId="337" priority="2760" stopIfTrue="1" operator="lessThan">
      <formula>#REF!</formula>
    </cfRule>
  </conditionalFormatting>
  <conditionalFormatting sqref="S290">
    <cfRule type="cellIs" dxfId="336" priority="2758" stopIfTrue="1" operator="lessThan">
      <formula>#REF!</formula>
    </cfRule>
  </conditionalFormatting>
  <conditionalFormatting sqref="S280">
    <cfRule type="cellIs" dxfId="335" priority="2761" stopIfTrue="1" operator="lessThan">
      <formula>#REF!</formula>
    </cfRule>
  </conditionalFormatting>
  <conditionalFormatting sqref="S306">
    <cfRule type="cellIs" dxfId="334" priority="2754" stopIfTrue="1" operator="lessThan">
      <formula>#REF!</formula>
    </cfRule>
  </conditionalFormatting>
  <conditionalFormatting sqref="S311">
    <cfRule type="cellIs" dxfId="333" priority="2751" stopIfTrue="1" operator="lessThan">
      <formula>#REF!</formula>
    </cfRule>
  </conditionalFormatting>
  <conditionalFormatting sqref="S290">
    <cfRule type="cellIs" dxfId="332" priority="2759" stopIfTrue="1" operator="lessThan">
      <formula>#REF!</formula>
    </cfRule>
  </conditionalFormatting>
  <conditionalFormatting sqref="S306">
    <cfRule type="cellIs" dxfId="331" priority="2755" stopIfTrue="1" operator="lessThan">
      <formula>#REF!</formula>
    </cfRule>
  </conditionalFormatting>
  <conditionalFormatting sqref="S311">
    <cfRule type="cellIs" dxfId="330" priority="2750" stopIfTrue="1" operator="lessThan">
      <formula>#REF!</formula>
    </cfRule>
  </conditionalFormatting>
  <conditionalFormatting sqref="S316">
    <cfRule type="cellIs" dxfId="329" priority="2749" stopIfTrue="1" operator="lessThan">
      <formula>#REF!</formula>
    </cfRule>
  </conditionalFormatting>
  <conditionalFormatting sqref="S316">
    <cfRule type="cellIs" dxfId="328" priority="2748" stopIfTrue="1" operator="lessThan">
      <formula>#REF!</formula>
    </cfRule>
  </conditionalFormatting>
  <conditionalFormatting sqref="S322">
    <cfRule type="cellIs" dxfId="327" priority="2746" stopIfTrue="1" operator="lessThan">
      <formula>#REF!</formula>
    </cfRule>
  </conditionalFormatting>
  <conditionalFormatting sqref="S321">
    <cfRule type="cellIs" dxfId="326" priority="2745" stopIfTrue="1" operator="lessThan">
      <formula>#REF!</formula>
    </cfRule>
  </conditionalFormatting>
  <conditionalFormatting sqref="S321">
    <cfRule type="cellIs" dxfId="325" priority="2744" stopIfTrue="1" operator="lessThan">
      <formula>#REF!</formula>
    </cfRule>
  </conditionalFormatting>
  <conditionalFormatting sqref="S322">
    <cfRule type="cellIs" dxfId="324" priority="2747" stopIfTrue="1" operator="lessThan">
      <formula>#REF!</formula>
    </cfRule>
  </conditionalFormatting>
  <conditionalFormatting sqref="S326">
    <cfRule type="cellIs" dxfId="323" priority="2742" stopIfTrue="1" operator="lessThan">
      <formula>#REF!</formula>
    </cfRule>
  </conditionalFormatting>
  <conditionalFormatting sqref="S268">
    <cfRule type="cellIs" dxfId="322" priority="2741" stopIfTrue="1" operator="lessThan">
      <formula>#REF!</formula>
    </cfRule>
  </conditionalFormatting>
  <conditionalFormatting sqref="S326">
    <cfRule type="cellIs" dxfId="321" priority="2743" stopIfTrue="1" operator="lessThan">
      <formula>#REF!</formula>
    </cfRule>
  </conditionalFormatting>
  <conditionalFormatting sqref="S417">
    <cfRule type="cellIs" dxfId="320" priority="2738" stopIfTrue="1" operator="lessThan">
      <formula>#REF!</formula>
    </cfRule>
  </conditionalFormatting>
  <conditionalFormatting sqref="S440">
    <cfRule type="cellIs" dxfId="319" priority="2736" stopIfTrue="1" operator="lessThan">
      <formula>#REF!</formula>
    </cfRule>
  </conditionalFormatting>
  <conditionalFormatting sqref="S75:S79">
    <cfRule type="cellIs" dxfId="318" priority="2734" stopIfTrue="1" operator="lessThan">
      <formula>#REF!</formula>
    </cfRule>
  </conditionalFormatting>
  <conditionalFormatting sqref="S453">
    <cfRule type="cellIs" dxfId="317" priority="2714" stopIfTrue="1" operator="lessThan">
      <formula>#REF!</formula>
    </cfRule>
  </conditionalFormatting>
  <conditionalFormatting sqref="S236">
    <cfRule type="cellIs" dxfId="316" priority="2712" stopIfTrue="1" operator="lessThan">
      <formula>#REF!</formula>
    </cfRule>
  </conditionalFormatting>
  <conditionalFormatting sqref="S683">
    <cfRule type="cellIs" dxfId="315" priority="2701" stopIfTrue="1" operator="lessThan">
      <formula>#REF!</formula>
    </cfRule>
  </conditionalFormatting>
  <conditionalFormatting sqref="S176">
    <cfRule type="cellIs" dxfId="314" priority="2684" stopIfTrue="1" operator="lessThan">
      <formula>#REF!</formula>
    </cfRule>
  </conditionalFormatting>
  <conditionalFormatting sqref="S488">
    <cfRule type="cellIs" dxfId="313" priority="2675" stopIfTrue="1" operator="lessThan">
      <formula>#REF!</formula>
    </cfRule>
  </conditionalFormatting>
  <conditionalFormatting sqref="S501">
    <cfRule type="cellIs" dxfId="312" priority="2672" stopIfTrue="1" operator="lessThan">
      <formula>#REF!</formula>
    </cfRule>
  </conditionalFormatting>
  <conditionalFormatting sqref="S513">
    <cfRule type="cellIs" dxfId="311" priority="2665" stopIfTrue="1" operator="lessThan">
      <formula>#REF!</formula>
    </cfRule>
  </conditionalFormatting>
  <conditionalFormatting sqref="S512">
    <cfRule type="cellIs" dxfId="310" priority="2664" stopIfTrue="1" operator="lessThan">
      <formula>#REF!</formula>
    </cfRule>
  </conditionalFormatting>
  <conditionalFormatting sqref="S510">
    <cfRule type="cellIs" dxfId="309" priority="2663" stopIfTrue="1" operator="lessThan">
      <formula>#REF!</formula>
    </cfRule>
  </conditionalFormatting>
  <conditionalFormatting sqref="S524">
    <cfRule type="cellIs" dxfId="308" priority="2658" stopIfTrue="1" operator="lessThan">
      <formula>#REF!</formula>
    </cfRule>
  </conditionalFormatting>
  <conditionalFormatting sqref="S13">
    <cfRule type="cellIs" dxfId="307" priority="2619" stopIfTrue="1" operator="lessThan">
      <formula>#REF!</formula>
    </cfRule>
  </conditionalFormatting>
  <conditionalFormatting sqref="S156:S157">
    <cfRule type="cellIs" dxfId="306" priority="2617" stopIfTrue="1" operator="lessThan">
      <formula>#REF!</formula>
    </cfRule>
  </conditionalFormatting>
  <conditionalFormatting sqref="S25">
    <cfRule type="cellIs" dxfId="305" priority="2614" stopIfTrue="1" operator="lessThan">
      <formula>#REF!</formula>
    </cfRule>
  </conditionalFormatting>
  <conditionalFormatting sqref="S682">
    <cfRule type="cellIs" dxfId="304" priority="2537" stopIfTrue="1" operator="lessThan">
      <formula>#REF!</formula>
    </cfRule>
  </conditionalFormatting>
  <conditionalFormatting sqref="S680">
    <cfRule type="cellIs" dxfId="303" priority="2454" stopIfTrue="1" operator="lessThan">
      <formula>#REF!</formula>
    </cfRule>
  </conditionalFormatting>
  <conditionalFormatting sqref="S277">
    <cfRule type="cellIs" dxfId="302" priority="2446" stopIfTrue="1" operator="lessThan">
      <formula>#REF!</formula>
    </cfRule>
  </conditionalFormatting>
  <conditionalFormatting sqref="S447">
    <cfRule type="cellIs" dxfId="301" priority="2436" stopIfTrue="1" operator="lessThan">
      <formula>#REF!</formula>
    </cfRule>
  </conditionalFormatting>
  <conditionalFormatting sqref="S274">
    <cfRule type="cellIs" dxfId="300" priority="2445" stopIfTrue="1" operator="lessThan">
      <formula>#REF!</formula>
    </cfRule>
  </conditionalFormatting>
  <conditionalFormatting sqref="S7:S8">
    <cfRule type="cellIs" dxfId="299" priority="2435" stopIfTrue="1" operator="lessThan">
      <formula>#REF!</formula>
    </cfRule>
  </conditionalFormatting>
  <conditionalFormatting sqref="S325">
    <cfRule type="cellIs" dxfId="298" priority="2426" stopIfTrue="1" operator="lessThan">
      <formula>#REF!</formula>
    </cfRule>
  </conditionalFormatting>
  <conditionalFormatting sqref="S279">
    <cfRule type="cellIs" dxfId="297" priority="2423" stopIfTrue="1" operator="lessThan">
      <formula>#REF!</formula>
    </cfRule>
  </conditionalFormatting>
  <conditionalFormatting sqref="S278">
    <cfRule type="cellIs" dxfId="296" priority="2422" stopIfTrue="1" operator="lessThan">
      <formula>#REF!</formula>
    </cfRule>
  </conditionalFormatting>
  <conditionalFormatting sqref="S275">
    <cfRule type="cellIs" dxfId="295" priority="2421" stopIfTrue="1" operator="lessThan">
      <formula>#REF!</formula>
    </cfRule>
  </conditionalFormatting>
  <conditionalFormatting sqref="S276">
    <cfRule type="cellIs" dxfId="294" priority="2420" stopIfTrue="1" operator="lessThan">
      <formula>#REF!</formula>
    </cfRule>
  </conditionalFormatting>
  <conditionalFormatting sqref="S679">
    <cfRule type="cellIs" dxfId="293" priority="2406" stopIfTrue="1" operator="lessThan">
      <formula>#REF!</formula>
    </cfRule>
  </conditionalFormatting>
  <conditionalFormatting sqref="S302">
    <cfRule type="cellIs" dxfId="292" priority="2402" stopIfTrue="1" operator="lessThan">
      <formula>#REF!</formula>
    </cfRule>
  </conditionalFormatting>
  <conditionalFormatting sqref="S678">
    <cfRule type="cellIs" dxfId="291" priority="2400" stopIfTrue="1" operator="lessThan">
      <formula>#REF!</formula>
    </cfRule>
  </conditionalFormatting>
  <conditionalFormatting sqref="S678">
    <cfRule type="cellIs" dxfId="290" priority="2399" stopIfTrue="1" operator="lessThan">
      <formula>#REF!</formula>
    </cfRule>
  </conditionalFormatting>
  <conditionalFormatting sqref="S273">
    <cfRule type="cellIs" dxfId="289" priority="2352" stopIfTrue="1" operator="lessThan">
      <formula>#REF!</formula>
    </cfRule>
  </conditionalFormatting>
  <conditionalFormatting sqref="S676">
    <cfRule type="cellIs" dxfId="288" priority="2293" stopIfTrue="1" operator="lessThan">
      <formula>#REF!</formula>
    </cfRule>
  </conditionalFormatting>
  <conditionalFormatting sqref="S675">
    <cfRule type="cellIs" dxfId="287" priority="2276" stopIfTrue="1" operator="lessThan">
      <formula>#REF!</formula>
    </cfRule>
  </conditionalFormatting>
  <conditionalFormatting sqref="S118">
    <cfRule type="cellIs" dxfId="286" priority="2262" stopIfTrue="1" operator="lessThan">
      <formula>#REF!</formula>
    </cfRule>
  </conditionalFormatting>
  <conditionalFormatting sqref="S200">
    <cfRule type="cellIs" dxfId="285" priority="2256" stopIfTrue="1" operator="lessThan">
      <formula>#REF!</formula>
    </cfRule>
  </conditionalFormatting>
  <conditionalFormatting sqref="S516">
    <cfRule type="cellIs" dxfId="284" priority="2217" stopIfTrue="1" operator="lessThan">
      <formula>#REF!</formula>
    </cfRule>
  </conditionalFormatting>
  <conditionalFormatting sqref="S674">
    <cfRule type="cellIs" dxfId="283" priority="2134" stopIfTrue="1" operator="lessThan">
      <formula>#REF!</formula>
    </cfRule>
  </conditionalFormatting>
  <conditionalFormatting sqref="S240:S242">
    <cfRule type="cellIs" dxfId="282" priority="2089" stopIfTrue="1" operator="lessThan">
      <formula>#REF!</formula>
    </cfRule>
  </conditionalFormatting>
  <conditionalFormatting sqref="S291">
    <cfRule type="cellIs" dxfId="281" priority="2087" stopIfTrue="1" operator="lessThan">
      <formula>#REF!</formula>
    </cfRule>
  </conditionalFormatting>
  <conditionalFormatting sqref="S673">
    <cfRule type="cellIs" dxfId="280" priority="2053" stopIfTrue="1" operator="lessThan">
      <formula>#REF!</formula>
    </cfRule>
  </conditionalFormatting>
  <conditionalFormatting sqref="S672">
    <cfRule type="cellIs" dxfId="279" priority="2039" stopIfTrue="1" operator="lessThan">
      <formula>#REF!</formula>
    </cfRule>
  </conditionalFormatting>
  <conditionalFormatting sqref="S672">
    <cfRule type="cellIs" dxfId="278" priority="2038" stopIfTrue="1" operator="lessThan">
      <formula>#REF!</formula>
    </cfRule>
  </conditionalFormatting>
  <conditionalFormatting sqref="S670">
    <cfRule type="cellIs" dxfId="277" priority="1932" stopIfTrue="1" operator="lessThan">
      <formula>#REF!</formula>
    </cfRule>
  </conditionalFormatting>
  <conditionalFormatting sqref="S480">
    <cfRule type="cellIs" dxfId="276" priority="1931" stopIfTrue="1" operator="lessThan">
      <formula>#REF!</formula>
    </cfRule>
  </conditionalFormatting>
  <conditionalFormatting sqref="S480">
    <cfRule type="cellIs" dxfId="275" priority="1930" stopIfTrue="1" operator="lessThan">
      <formula>#REF!</formula>
    </cfRule>
  </conditionalFormatting>
  <conditionalFormatting sqref="S330">
    <cfRule type="cellIs" dxfId="274" priority="1929" stopIfTrue="1" operator="lessThan">
      <formula>#REF!</formula>
    </cfRule>
  </conditionalFormatting>
  <conditionalFormatting sqref="S563">
    <cfRule type="cellIs" dxfId="273" priority="1928" stopIfTrue="1" operator="lessThan">
      <formula>#REF!</formula>
    </cfRule>
  </conditionalFormatting>
  <conditionalFormatting sqref="S448">
    <cfRule type="cellIs" dxfId="272" priority="1923" stopIfTrue="1" operator="lessThan">
      <formula>#REF!</formula>
    </cfRule>
  </conditionalFormatting>
  <conditionalFormatting sqref="S467">
    <cfRule type="cellIs" dxfId="271" priority="1895" stopIfTrue="1" operator="lessThan">
      <formula>#REF!</formula>
    </cfRule>
  </conditionalFormatting>
  <conditionalFormatting sqref="S239">
    <cfRule type="cellIs" dxfId="270" priority="1662" stopIfTrue="1" operator="lessThan">
      <formula>#REF!</formula>
    </cfRule>
  </conditionalFormatting>
  <conditionalFormatting sqref="S237">
    <cfRule type="cellIs" dxfId="269" priority="1659" stopIfTrue="1" operator="lessThan">
      <formula>#REF!</formula>
    </cfRule>
  </conditionalFormatting>
  <conditionalFormatting sqref="S238">
    <cfRule type="cellIs" dxfId="268" priority="1661" stopIfTrue="1" operator="lessThan">
      <formula>#REF!</formula>
    </cfRule>
  </conditionalFormatting>
  <conditionalFormatting sqref="S429">
    <cfRule type="cellIs" dxfId="267" priority="1617" stopIfTrue="1" operator="lessThan">
      <formula>#REF!</formula>
    </cfRule>
  </conditionalFormatting>
  <conditionalFormatting sqref="S669">
    <cfRule type="cellIs" dxfId="266" priority="1581" stopIfTrue="1" operator="lessThan">
      <formula>#REF!</formula>
    </cfRule>
  </conditionalFormatting>
  <conditionalFormatting sqref="S69">
    <cfRule type="cellIs" dxfId="265" priority="1551" stopIfTrue="1" operator="lessThan">
      <formula>#REF!</formula>
    </cfRule>
  </conditionalFormatting>
  <conditionalFormatting sqref="S150">
    <cfRule type="cellIs" dxfId="264" priority="1494" stopIfTrue="1" operator="lessThan">
      <formula>#REF!</formula>
    </cfRule>
  </conditionalFormatting>
  <conditionalFormatting sqref="S15">
    <cfRule type="cellIs" dxfId="263" priority="1495" stopIfTrue="1" operator="lessThan">
      <formula>#REF!</formula>
    </cfRule>
  </conditionalFormatting>
  <conditionalFormatting sqref="S151">
    <cfRule type="cellIs" dxfId="262" priority="1493" stopIfTrue="1" operator="lessThan">
      <formula>#REF!</formula>
    </cfRule>
  </conditionalFormatting>
  <conditionalFormatting sqref="S152">
    <cfRule type="cellIs" dxfId="261" priority="1492" stopIfTrue="1" operator="lessThan">
      <formula>#REF!</formula>
    </cfRule>
  </conditionalFormatting>
  <conditionalFormatting sqref="S153">
    <cfRule type="cellIs" dxfId="260" priority="1491" stopIfTrue="1" operator="lessThan">
      <formula>#REF!</formula>
    </cfRule>
  </conditionalFormatting>
  <conditionalFormatting sqref="S190">
    <cfRule type="cellIs" dxfId="259" priority="1472" stopIfTrue="1" operator="lessThan">
      <formula>#REF!</formula>
    </cfRule>
  </conditionalFormatting>
  <conditionalFormatting sqref="S644">
    <cfRule type="cellIs" dxfId="258" priority="1454" stopIfTrue="1" operator="lessThan">
      <formula>#REF!</formula>
    </cfRule>
  </conditionalFormatting>
  <conditionalFormatting sqref="S137">
    <cfRule type="cellIs" dxfId="257" priority="1450" stopIfTrue="1" operator="lessThan">
      <formula>#REF!</formula>
    </cfRule>
  </conditionalFormatting>
  <conditionalFormatting sqref="S137">
    <cfRule type="cellIs" dxfId="256" priority="1449" stopIfTrue="1" operator="lessThan">
      <formula>#REF!</formula>
    </cfRule>
  </conditionalFormatting>
  <conditionalFormatting sqref="S188">
    <cfRule type="cellIs" dxfId="255" priority="1407" stopIfTrue="1" operator="lessThan">
      <formula>#REF!</formula>
    </cfRule>
  </conditionalFormatting>
  <conditionalFormatting sqref="S470">
    <cfRule type="cellIs" dxfId="254" priority="1381" stopIfTrue="1" operator="lessThan">
      <formula>#REF!</formula>
    </cfRule>
  </conditionalFormatting>
  <conditionalFormatting sqref="S471">
    <cfRule type="cellIs" dxfId="253" priority="1379" stopIfTrue="1" operator="lessThan">
      <formula>#REF!</formula>
    </cfRule>
  </conditionalFormatting>
  <conditionalFormatting sqref="S304">
    <cfRule type="cellIs" dxfId="252" priority="1366" stopIfTrue="1" operator="lessThan">
      <formula>#REF!</formula>
    </cfRule>
  </conditionalFormatting>
  <conditionalFormatting sqref="S111">
    <cfRule type="cellIs" dxfId="251" priority="1352" stopIfTrue="1" operator="lessThan">
      <formula>#REF!</formula>
    </cfRule>
  </conditionalFormatting>
  <conditionalFormatting sqref="S407">
    <cfRule type="cellIs" dxfId="250" priority="1351" stopIfTrue="1" operator="lessThan">
      <formula>#REF!</formula>
    </cfRule>
  </conditionalFormatting>
  <conditionalFormatting sqref="S165">
    <cfRule type="cellIs" dxfId="249" priority="1321" stopIfTrue="1" operator="lessThan">
      <formula>#REF!</formula>
    </cfRule>
  </conditionalFormatting>
  <conditionalFormatting sqref="S168">
    <cfRule type="cellIs" dxfId="248" priority="1318" stopIfTrue="1" operator="lessThan">
      <formula>#REF!</formula>
    </cfRule>
  </conditionalFormatting>
  <conditionalFormatting sqref="S666">
    <cfRule type="cellIs" dxfId="247" priority="1133" stopIfTrue="1" operator="lessThan">
      <formula>#REF!</formula>
    </cfRule>
  </conditionalFormatting>
  <conditionalFormatting sqref="S428">
    <cfRule type="cellIs" dxfId="246" priority="1111" stopIfTrue="1" operator="lessThan">
      <formula>#REF!</formula>
    </cfRule>
  </conditionalFormatting>
  <conditionalFormatting sqref="S114">
    <cfRule type="cellIs" dxfId="245" priority="1093" stopIfTrue="1" operator="lessThan">
      <formula>#REF!</formula>
    </cfRule>
  </conditionalFormatting>
  <conditionalFormatting sqref="S469">
    <cfRule type="cellIs" dxfId="244" priority="1086" stopIfTrue="1" operator="lessThan">
      <formula>#REF!</formula>
    </cfRule>
  </conditionalFormatting>
  <conditionalFormatting sqref="S4">
    <cfRule type="cellIs" dxfId="243" priority="1067" stopIfTrue="1" operator="lessThan">
      <formula>#REF!</formula>
    </cfRule>
  </conditionalFormatting>
  <conditionalFormatting sqref="S10">
    <cfRule type="cellIs" dxfId="242" priority="1045" stopIfTrue="1" operator="lessThan">
      <formula>#REF!</formula>
    </cfRule>
  </conditionalFormatting>
  <conditionalFormatting sqref="S593">
    <cfRule type="cellIs" dxfId="241" priority="1027" stopIfTrue="1" operator="lessThan">
      <formula>#REF!</formula>
    </cfRule>
  </conditionalFormatting>
  <conditionalFormatting sqref="S593">
    <cfRule type="cellIs" dxfId="240" priority="1026" stopIfTrue="1" operator="lessThan">
      <formula>#REF!</formula>
    </cfRule>
  </conditionalFormatting>
  <conditionalFormatting sqref="S315">
    <cfRule type="cellIs" dxfId="239" priority="997" stopIfTrue="1" operator="lessThan">
      <formula>#REF!</formula>
    </cfRule>
  </conditionalFormatting>
  <conditionalFormatting sqref="S416">
    <cfRule type="cellIs" dxfId="238" priority="996" stopIfTrue="1" operator="lessThan">
      <formula>#REF!</formula>
    </cfRule>
  </conditionalFormatting>
  <conditionalFormatting sqref="S315">
    <cfRule type="cellIs" dxfId="237" priority="998" stopIfTrue="1" operator="lessThan">
      <formula>#REF!</formula>
    </cfRule>
  </conditionalFormatting>
  <conditionalFormatting sqref="S122">
    <cfRule type="cellIs" dxfId="236" priority="995" stopIfTrue="1" operator="lessThan">
      <formula>#REF!</formula>
    </cfRule>
  </conditionalFormatting>
  <conditionalFormatting sqref="S124">
    <cfRule type="cellIs" dxfId="235" priority="994" stopIfTrue="1" operator="lessThan">
      <formula>#REF!</formula>
    </cfRule>
  </conditionalFormatting>
  <conditionalFormatting sqref="S91">
    <cfRule type="cellIs" dxfId="234" priority="968" stopIfTrue="1" operator="lessThan">
      <formula>#REF!</formula>
    </cfRule>
  </conditionalFormatting>
  <conditionalFormatting sqref="S494">
    <cfRule type="cellIs" dxfId="233" priority="966" stopIfTrue="1" operator="lessThan">
      <formula>#REF!</formula>
    </cfRule>
  </conditionalFormatting>
  <conditionalFormatting sqref="S497">
    <cfRule type="cellIs" dxfId="232" priority="964" stopIfTrue="1" operator="lessThan">
      <formula>#REF!</formula>
    </cfRule>
  </conditionalFormatting>
  <conditionalFormatting sqref="S116:S117">
    <cfRule type="cellIs" dxfId="231" priority="958" stopIfTrue="1" operator="lessThan">
      <formula>#REF!</formula>
    </cfRule>
  </conditionalFormatting>
  <conditionalFormatting sqref="S21:S22">
    <cfRule type="cellIs" dxfId="230" priority="893" stopIfTrue="1" operator="lessThan">
      <formula>#REF!</formula>
    </cfRule>
  </conditionalFormatting>
  <conditionalFormatting sqref="S23">
    <cfRule type="cellIs" dxfId="229" priority="892" stopIfTrue="1" operator="lessThan">
      <formula>#REF!</formula>
    </cfRule>
  </conditionalFormatting>
  <conditionalFormatting sqref="S377">
    <cfRule type="cellIs" dxfId="228" priority="886" stopIfTrue="1" operator="lessThan">
      <formula>#REF!</formula>
    </cfRule>
  </conditionalFormatting>
  <conditionalFormatting sqref="S376">
    <cfRule type="cellIs" dxfId="227" priority="885" stopIfTrue="1" operator="lessThan">
      <formula>#REF!</formula>
    </cfRule>
  </conditionalFormatting>
  <conditionalFormatting sqref="S378">
    <cfRule type="cellIs" dxfId="226" priority="884" stopIfTrue="1" operator="lessThan">
      <formula>#REF!</formula>
    </cfRule>
  </conditionalFormatting>
  <conditionalFormatting sqref="S375">
    <cfRule type="cellIs" dxfId="225" priority="883" stopIfTrue="1" operator="lessThan">
      <formula>#REF!</formula>
    </cfRule>
  </conditionalFormatting>
  <conditionalFormatting sqref="S375">
    <cfRule type="cellIs" dxfId="224" priority="882" stopIfTrue="1" operator="lessThan">
      <formula>#REF!</formula>
    </cfRule>
  </conditionalFormatting>
  <conditionalFormatting sqref="S359">
    <cfRule type="cellIs" dxfId="223" priority="880" stopIfTrue="1" operator="lessThan">
      <formula>#REF!</formula>
    </cfRule>
  </conditionalFormatting>
  <conditionalFormatting sqref="S359">
    <cfRule type="cellIs" dxfId="222" priority="879" stopIfTrue="1" operator="lessThan">
      <formula>#REF!</formula>
    </cfRule>
  </conditionalFormatting>
  <conditionalFormatting sqref="S289">
    <cfRule type="cellIs" dxfId="221" priority="852" stopIfTrue="1" operator="lessThan">
      <formula>#REF!</formula>
    </cfRule>
  </conditionalFormatting>
  <conditionalFormatting sqref="S289">
    <cfRule type="cellIs" dxfId="220" priority="853" stopIfTrue="1" operator="lessThan">
      <formula>#REF!</formula>
    </cfRule>
  </conditionalFormatting>
  <conditionalFormatting sqref="S305">
    <cfRule type="cellIs" dxfId="219" priority="850" stopIfTrue="1" operator="lessThan">
      <formula>#REF!</formula>
    </cfRule>
  </conditionalFormatting>
  <conditionalFormatting sqref="S305">
    <cfRule type="cellIs" dxfId="218" priority="851" stopIfTrue="1" operator="lessThan">
      <formula>#REF!</formula>
    </cfRule>
  </conditionalFormatting>
  <conditionalFormatting sqref="S355">
    <cfRule type="cellIs" dxfId="217" priority="849" stopIfTrue="1" operator="lessThan">
      <formula>#REF!</formula>
    </cfRule>
  </conditionalFormatting>
  <conditionalFormatting sqref="S355">
    <cfRule type="cellIs" dxfId="216" priority="848" stopIfTrue="1" operator="lessThan">
      <formula>#REF!</formula>
    </cfRule>
  </conditionalFormatting>
  <conditionalFormatting sqref="S211">
    <cfRule type="cellIs" dxfId="215" priority="844" stopIfTrue="1" operator="lessThan">
      <formula>#REF!</formula>
    </cfRule>
  </conditionalFormatting>
  <conditionalFormatting sqref="S243">
    <cfRule type="cellIs" dxfId="214" priority="814" stopIfTrue="1" operator="lessThan">
      <formula>#REF!</formula>
    </cfRule>
  </conditionalFormatting>
  <conditionalFormatting sqref="S319">
    <cfRule type="cellIs" dxfId="213" priority="810" stopIfTrue="1" operator="lessThan">
      <formula>#REF!</formula>
    </cfRule>
  </conditionalFormatting>
  <conditionalFormatting sqref="S142">
    <cfRule type="cellIs" dxfId="212" priority="792" stopIfTrue="1" operator="lessThan">
      <formula>#REF!</formula>
    </cfRule>
  </conditionalFormatting>
  <conditionalFormatting sqref="S55">
    <cfRule type="cellIs" dxfId="211" priority="788" stopIfTrue="1" operator="lessThan">
      <formula>#REF!</formula>
    </cfRule>
  </conditionalFormatting>
  <conditionalFormatting sqref="S204">
    <cfRule type="cellIs" dxfId="210" priority="787" stopIfTrue="1" operator="lessThan">
      <formula>#REF!</formula>
    </cfRule>
  </conditionalFormatting>
  <conditionalFormatting sqref="S144">
    <cfRule type="cellIs" dxfId="209" priority="786" stopIfTrue="1" operator="lessThan">
      <formula>#REF!</formula>
    </cfRule>
  </conditionalFormatting>
  <conditionalFormatting sqref="S224">
    <cfRule type="cellIs" dxfId="208" priority="775" stopIfTrue="1" operator="lessThan">
      <formula>#REF!</formula>
    </cfRule>
  </conditionalFormatting>
  <conditionalFormatting sqref="S224">
    <cfRule type="cellIs" dxfId="207" priority="774" stopIfTrue="1" operator="lessThan">
      <formula>#REF!</formula>
    </cfRule>
  </conditionalFormatting>
  <conditionalFormatting sqref="S269">
    <cfRule type="cellIs" dxfId="206" priority="744" stopIfTrue="1" operator="lessThan">
      <formula>#REF!</formula>
    </cfRule>
  </conditionalFormatting>
  <conditionalFormatting sqref="S123">
    <cfRule type="cellIs" dxfId="205" priority="706" stopIfTrue="1" operator="lessThan">
      <formula>#REF!</formula>
    </cfRule>
  </conditionalFormatting>
  <conditionalFormatting sqref="S660">
    <cfRule type="cellIs" dxfId="204" priority="699" stopIfTrue="1" operator="lessThan">
      <formula>#REF!</formula>
    </cfRule>
  </conditionalFormatting>
  <conditionalFormatting sqref="S466">
    <cfRule type="cellIs" dxfId="203" priority="687" stopIfTrue="1" operator="lessThan">
      <formula>#REF!</formula>
    </cfRule>
  </conditionalFormatting>
  <conditionalFormatting sqref="S287">
    <cfRule type="cellIs" dxfId="202" priority="675" stopIfTrue="1" operator="lessThan">
      <formula>#REF!</formula>
    </cfRule>
  </conditionalFormatting>
  <conditionalFormatting sqref="S288">
    <cfRule type="cellIs" dxfId="201" priority="674" stopIfTrue="1" operator="lessThan">
      <formula>#REF!</formula>
    </cfRule>
  </conditionalFormatting>
  <conditionalFormatting sqref="S300">
    <cfRule type="cellIs" dxfId="200" priority="669" stopIfTrue="1" operator="lessThan">
      <formula>#REF!</formula>
    </cfRule>
  </conditionalFormatting>
  <conditionalFormatting sqref="S425">
    <cfRule type="cellIs" dxfId="199" priority="668" stopIfTrue="1" operator="lessThan">
      <formula>#REF!</formula>
    </cfRule>
  </conditionalFormatting>
  <conditionalFormatting sqref="S129">
    <cfRule type="cellIs" dxfId="198" priority="666" stopIfTrue="1" operator="lessThan">
      <formula>#REF!</formula>
    </cfRule>
  </conditionalFormatting>
  <conditionalFormatting sqref="S659">
    <cfRule type="cellIs" dxfId="197" priority="642" stopIfTrue="1" operator="lessThan">
      <formula>#REF!</formula>
    </cfRule>
  </conditionalFormatting>
  <conditionalFormatting sqref="S500">
    <cfRule type="cellIs" dxfId="196" priority="611" stopIfTrue="1" operator="lessThan">
      <formula>#REF!</formula>
    </cfRule>
  </conditionalFormatting>
  <conditionalFormatting sqref="S446">
    <cfRule type="cellIs" dxfId="195" priority="601" stopIfTrue="1" operator="lessThan">
      <formula>#REF!</formula>
    </cfRule>
  </conditionalFormatting>
  <conditionalFormatting sqref="S203">
    <cfRule type="cellIs" dxfId="194" priority="600" stopIfTrue="1" operator="lessThan">
      <formula>#REF!</formula>
    </cfRule>
  </conditionalFormatting>
  <conditionalFormatting sqref="S282">
    <cfRule type="cellIs" dxfId="193" priority="597" stopIfTrue="1" operator="lessThan">
      <formula>#REF!</formula>
    </cfRule>
  </conditionalFormatting>
  <conditionalFormatting sqref="S160">
    <cfRule type="cellIs" dxfId="192" priority="588" stopIfTrue="1" operator="lessThan">
      <formula>#REF!</formula>
    </cfRule>
  </conditionalFormatting>
  <conditionalFormatting sqref="S657">
    <cfRule type="cellIs" dxfId="191" priority="582" stopIfTrue="1" operator="lessThan">
      <formula>#REF!</formula>
    </cfRule>
  </conditionalFormatting>
  <conditionalFormatting sqref="S56">
    <cfRule type="cellIs" dxfId="190" priority="569" stopIfTrue="1" operator="lessThan">
      <formula>#REF!</formula>
    </cfRule>
  </conditionalFormatting>
  <conditionalFormatting sqref="S56">
    <cfRule type="cellIs" dxfId="189" priority="568" stopIfTrue="1" operator="lessThan">
      <formula>#REF!</formula>
    </cfRule>
  </conditionalFormatting>
  <conditionalFormatting sqref="S56">
    <cfRule type="cellIs" dxfId="188" priority="567" stopIfTrue="1" operator="lessThan">
      <formula>#REF!</formula>
    </cfRule>
  </conditionalFormatting>
  <conditionalFormatting sqref="S141">
    <cfRule type="cellIs" dxfId="187" priority="562" stopIfTrue="1" operator="lessThan">
      <formula>#REF!</formula>
    </cfRule>
  </conditionalFormatting>
  <conditionalFormatting sqref="S56">
    <cfRule type="cellIs" dxfId="186" priority="566" stopIfTrue="1" operator="lessThan">
      <formula>#REF!</formula>
    </cfRule>
  </conditionalFormatting>
  <conditionalFormatting sqref="S56">
    <cfRule type="cellIs" dxfId="185" priority="565" stopIfTrue="1" operator="lessThan">
      <formula>#REF!</formula>
    </cfRule>
  </conditionalFormatting>
  <conditionalFormatting sqref="S56">
    <cfRule type="cellIs" dxfId="184" priority="564" stopIfTrue="1" operator="lessThan">
      <formula>#REF!</formula>
    </cfRule>
  </conditionalFormatting>
  <conditionalFormatting sqref="S141">
    <cfRule type="cellIs" dxfId="183" priority="561" stopIfTrue="1" operator="lessThan">
      <formula>#REF!</formula>
    </cfRule>
  </conditionalFormatting>
  <conditionalFormatting sqref="S520">
    <cfRule type="cellIs" dxfId="182" priority="504" stopIfTrue="1" operator="lessThan">
      <formula>#REF!</formula>
    </cfRule>
  </conditionalFormatting>
  <conditionalFormatting sqref="S519">
    <cfRule type="cellIs" dxfId="181" priority="503" stopIfTrue="1" operator="lessThan">
      <formula>#REF!</formula>
    </cfRule>
  </conditionalFormatting>
  <conditionalFormatting sqref="S522:S523 S526:S529 S536">
    <cfRule type="cellIs" dxfId="180" priority="494" stopIfTrue="1" operator="lessThan">
      <formula>#REF!</formula>
    </cfRule>
  </conditionalFormatting>
  <conditionalFormatting sqref="S544">
    <cfRule type="cellIs" dxfId="179" priority="492" stopIfTrue="1" operator="lessThan">
      <formula>#REF!</formula>
    </cfRule>
  </conditionalFormatting>
  <conditionalFormatting sqref="S543">
    <cfRule type="cellIs" dxfId="178" priority="491" stopIfTrue="1" operator="lessThan">
      <formula>#REF!</formula>
    </cfRule>
  </conditionalFormatting>
  <conditionalFormatting sqref="S542">
    <cfRule type="cellIs" dxfId="177" priority="490" stopIfTrue="1" operator="lessThan">
      <formula>#REF!</formula>
    </cfRule>
  </conditionalFormatting>
  <conditionalFormatting sqref="S367">
    <cfRule type="cellIs" dxfId="176" priority="464" stopIfTrue="1" operator="lessThan">
      <formula>#REF!</formula>
    </cfRule>
  </conditionalFormatting>
  <conditionalFormatting sqref="S159">
    <cfRule type="cellIs" dxfId="175" priority="463" stopIfTrue="1" operator="lessThan">
      <formula>#REF!</formula>
    </cfRule>
  </conditionalFormatting>
  <conditionalFormatting sqref="S70">
    <cfRule type="cellIs" dxfId="174" priority="442" stopIfTrue="1" operator="lessThan">
      <formula>#REF!</formula>
    </cfRule>
  </conditionalFormatting>
  <conditionalFormatting sqref="S73:S74">
    <cfRule type="cellIs" dxfId="173" priority="441" stopIfTrue="1" operator="lessThan">
      <formula>#REF!</formula>
    </cfRule>
  </conditionalFormatting>
  <conditionalFormatting sqref="S334">
    <cfRule type="cellIs" dxfId="172" priority="440" stopIfTrue="1" operator="lessThan">
      <formula>#REF!</formula>
    </cfRule>
  </conditionalFormatting>
  <conditionalFormatting sqref="S333">
    <cfRule type="cellIs" dxfId="171" priority="439" stopIfTrue="1" operator="lessThan">
      <formula>#REF!</formula>
    </cfRule>
  </conditionalFormatting>
  <conditionalFormatting sqref="S221">
    <cfRule type="cellIs" dxfId="170" priority="437" stopIfTrue="1" operator="lessThan">
      <formula>#REF!</formula>
    </cfRule>
  </conditionalFormatting>
  <conditionalFormatting sqref="S222:S223">
    <cfRule type="cellIs" dxfId="169" priority="438" stopIfTrue="1" operator="lessThan">
      <formula>#REF!</formula>
    </cfRule>
  </conditionalFormatting>
  <conditionalFormatting sqref="S220">
    <cfRule type="cellIs" dxfId="168" priority="436" stopIfTrue="1" operator="lessThan">
      <formula>#REF!</formula>
    </cfRule>
  </conditionalFormatting>
  <conditionalFormatting sqref="S299">
    <cfRule type="cellIs" dxfId="167" priority="433" stopIfTrue="1" operator="lessThan">
      <formula>#REF!</formula>
    </cfRule>
  </conditionalFormatting>
  <conditionalFormatting sqref="S298">
    <cfRule type="cellIs" dxfId="166" priority="431" stopIfTrue="1" operator="lessThan">
      <formula>#REF!</formula>
    </cfRule>
  </conditionalFormatting>
  <conditionalFormatting sqref="S400">
    <cfRule type="cellIs" dxfId="165" priority="421" stopIfTrue="1" operator="lessThan">
      <formula>#REF!</formula>
    </cfRule>
  </conditionalFormatting>
  <conditionalFormatting sqref="S68">
    <cfRule type="cellIs" dxfId="164" priority="430" stopIfTrue="1" operator="lessThan">
      <formula>#REF!</formula>
    </cfRule>
  </conditionalFormatting>
  <conditionalFormatting sqref="S465">
    <cfRule type="cellIs" dxfId="163" priority="416" stopIfTrue="1" operator="lessThan">
      <formula>#REF!</formula>
    </cfRule>
  </conditionalFormatting>
  <conditionalFormatting sqref="S392">
    <cfRule type="cellIs" dxfId="162" priority="412" stopIfTrue="1" operator="lessThan">
      <formula>#REF!</formula>
    </cfRule>
  </conditionalFormatting>
  <conditionalFormatting sqref="S392">
    <cfRule type="cellIs" dxfId="161" priority="413" stopIfTrue="1" operator="lessThan">
      <formula>#REF!</formula>
    </cfRule>
  </conditionalFormatting>
  <conditionalFormatting sqref="S110">
    <cfRule type="cellIs" dxfId="160" priority="399" stopIfTrue="1" operator="lessThan">
      <formula>#REF!</formula>
    </cfRule>
  </conditionalFormatting>
  <conditionalFormatting sqref="S90">
    <cfRule type="cellIs" dxfId="159" priority="383" stopIfTrue="1" operator="lessThan">
      <formula>#REF!</formula>
    </cfRule>
  </conditionalFormatting>
  <conditionalFormatting sqref="S463">
    <cfRule type="cellIs" dxfId="158" priority="380" stopIfTrue="1" operator="lessThan">
      <formula>#REF!</formula>
    </cfRule>
  </conditionalFormatting>
  <conditionalFormatting sqref="S424">
    <cfRule type="cellIs" dxfId="157" priority="377" stopIfTrue="1" operator="lessThan">
      <formula>#REF!</formula>
    </cfRule>
  </conditionalFormatting>
  <conditionalFormatting sqref="S656">
    <cfRule type="cellIs" dxfId="156" priority="372" stopIfTrue="1" operator="lessThan">
      <formula>#REF!</formula>
    </cfRule>
  </conditionalFormatting>
  <conditionalFormatting sqref="S655">
    <cfRule type="cellIs" dxfId="155" priority="347" stopIfTrue="1" operator="lessThan">
      <formula>#REF!</formula>
    </cfRule>
  </conditionalFormatting>
  <conditionalFormatting sqref="S655">
    <cfRule type="cellIs" dxfId="154" priority="348" stopIfTrue="1" operator="lessThan">
      <formula>#REF!</formula>
    </cfRule>
  </conditionalFormatting>
  <conditionalFormatting sqref="S462">
    <cfRule type="cellIs" dxfId="153" priority="327" stopIfTrue="1" operator="lessThan">
      <formula>#REF!</formula>
    </cfRule>
  </conditionalFormatting>
  <conditionalFormatting sqref="S87">
    <cfRule type="cellIs" dxfId="152" priority="332" stopIfTrue="1" operator="lessThan">
      <formula>#REF!</formula>
    </cfRule>
  </conditionalFormatting>
  <conditionalFormatting sqref="S253:S254">
    <cfRule type="cellIs" dxfId="151" priority="321" stopIfTrue="1" operator="lessThan">
      <formula>#REF!</formula>
    </cfRule>
  </conditionalFormatting>
  <conditionalFormatting sqref="S499">
    <cfRule type="cellIs" dxfId="150" priority="320" stopIfTrue="1" operator="lessThan">
      <formula>#REF!</formula>
    </cfRule>
  </conditionalFormatting>
  <conditionalFormatting sqref="S125">
    <cfRule type="cellIs" dxfId="149" priority="315" stopIfTrue="1" operator="lessThan">
      <formula>#REF!</formula>
    </cfRule>
  </conditionalFormatting>
  <conditionalFormatting sqref="S422">
    <cfRule type="cellIs" dxfId="148" priority="285" stopIfTrue="1" operator="lessThan">
      <formula>#REF!</formula>
    </cfRule>
  </conditionalFormatting>
  <conditionalFormatting sqref="S382">
    <cfRule type="cellIs" dxfId="147" priority="277" stopIfTrue="1" operator="lessThan">
      <formula>#REF!</formula>
    </cfRule>
  </conditionalFormatting>
  <conditionalFormatting sqref="S86">
    <cfRule type="cellIs" dxfId="146" priority="281" stopIfTrue="1" operator="lessThan">
      <formula>#REF!</formula>
    </cfRule>
  </conditionalFormatting>
  <conditionalFormatting sqref="S86">
    <cfRule type="cellIs" dxfId="145" priority="282" stopIfTrue="1" operator="lessThan">
      <formula>#REF!</formula>
    </cfRule>
  </conditionalFormatting>
  <conditionalFormatting sqref="S381">
    <cfRule type="cellIs" dxfId="144" priority="278" stopIfTrue="1" operator="lessThan">
      <formula>#REF!</formula>
    </cfRule>
  </conditionalFormatting>
  <conditionalFormatting sqref="S383">
    <cfRule type="cellIs" dxfId="143" priority="276" stopIfTrue="1" operator="lessThan">
      <formula>#REF!</formula>
    </cfRule>
  </conditionalFormatting>
  <conditionalFormatting sqref="S20">
    <cfRule type="cellIs" dxfId="142" priority="275" stopIfTrue="1" operator="lessThan">
      <formula>#REF!</formula>
    </cfRule>
  </conditionalFormatting>
  <conditionalFormatting sqref="S654">
    <cfRule type="cellIs" dxfId="141" priority="267" stopIfTrue="1" operator="lessThan">
      <formula>#REF!</formula>
    </cfRule>
  </conditionalFormatting>
  <conditionalFormatting sqref="S653">
    <cfRule type="cellIs" dxfId="140" priority="265" stopIfTrue="1" operator="lessThan">
      <formula>#REF!</formula>
    </cfRule>
  </conditionalFormatting>
  <conditionalFormatting sqref="S365">
    <cfRule type="cellIs" dxfId="139" priority="250" stopIfTrue="1" operator="lessThan">
      <formula>#REF!</formula>
    </cfRule>
  </conditionalFormatting>
  <conditionalFormatting sqref="S433">
    <cfRule type="cellIs" dxfId="138" priority="243" stopIfTrue="1" operator="lessThan">
      <formula>#REF!</formula>
    </cfRule>
  </conditionalFormatting>
  <conditionalFormatting sqref="S372">
    <cfRule type="cellIs" dxfId="137" priority="247" stopIfTrue="1" operator="lessThan">
      <formula>#REF!</formula>
    </cfRule>
  </conditionalFormatting>
  <conditionalFormatting sqref="S140">
    <cfRule type="cellIs" dxfId="136" priority="241" stopIfTrue="1" operator="lessThan">
      <formula>#REF!</formula>
    </cfRule>
  </conditionalFormatting>
  <conditionalFormatting sqref="S148">
    <cfRule type="cellIs" dxfId="135" priority="240" stopIfTrue="1" operator="lessThan">
      <formula>#REF!</formula>
    </cfRule>
  </conditionalFormatting>
  <conditionalFormatting sqref="S388">
    <cfRule type="cellIs" dxfId="134" priority="219" stopIfTrue="1" operator="lessThan">
      <formula>#REF!</formula>
    </cfRule>
  </conditionalFormatting>
  <conditionalFormatting sqref="S390">
    <cfRule type="cellIs" dxfId="133" priority="224" stopIfTrue="1" operator="lessThan">
      <formula>#REF!</formula>
    </cfRule>
  </conditionalFormatting>
  <conditionalFormatting sqref="S390">
    <cfRule type="cellIs" dxfId="132" priority="223" stopIfTrue="1" operator="lessThan">
      <formula>#REF!</formula>
    </cfRule>
  </conditionalFormatting>
  <conditionalFormatting sqref="S389">
    <cfRule type="cellIs" dxfId="131" priority="222" stopIfTrue="1" operator="lessThan">
      <formula>#REF!</formula>
    </cfRule>
  </conditionalFormatting>
  <conditionalFormatting sqref="S389">
    <cfRule type="cellIs" dxfId="130" priority="221" stopIfTrue="1" operator="lessThan">
      <formula>#REF!</formula>
    </cfRule>
  </conditionalFormatting>
  <conditionalFormatting sqref="S388">
    <cfRule type="cellIs" dxfId="129" priority="220" stopIfTrue="1" operator="lessThan">
      <formula>#REF!</formula>
    </cfRule>
  </conditionalFormatting>
  <conditionalFormatting sqref="S85">
    <cfRule type="cellIs" dxfId="128" priority="215" stopIfTrue="1" operator="lessThan">
      <formula>#REF!</formula>
    </cfRule>
  </conditionalFormatting>
  <conditionalFormatting sqref="S82">
    <cfRule type="cellIs" dxfId="127" priority="213" stopIfTrue="1" operator="lessThan">
      <formula>#REF!</formula>
    </cfRule>
  </conditionalFormatting>
  <conditionalFormatting sqref="S83">
    <cfRule type="cellIs" dxfId="126" priority="212" stopIfTrue="1" operator="lessThan">
      <formula>#REF!</formula>
    </cfRule>
  </conditionalFormatting>
  <conditionalFormatting sqref="S104">
    <cfRule type="cellIs" dxfId="125" priority="208" stopIfTrue="1" operator="lessThan">
      <formula>#REF!</formula>
    </cfRule>
  </conditionalFormatting>
  <conditionalFormatting sqref="S103">
    <cfRule type="cellIs" dxfId="124" priority="207" stopIfTrue="1" operator="lessThan">
      <formula>#REF!</formula>
    </cfRule>
  </conditionalFormatting>
  <conditionalFormatting sqref="S102">
    <cfRule type="cellIs" dxfId="123" priority="206" stopIfTrue="1" operator="lessThan">
      <formula>#REF!</formula>
    </cfRule>
  </conditionalFormatting>
  <conditionalFormatting sqref="S199">
    <cfRule type="cellIs" dxfId="122" priority="205" stopIfTrue="1" operator="lessThan">
      <formula>#REF!</formula>
    </cfRule>
  </conditionalFormatting>
  <conditionalFormatting sqref="S43">
    <cfRule type="cellIs" dxfId="121" priority="202" stopIfTrue="1" operator="lessThan">
      <formula>#REF!</formula>
    </cfRule>
  </conditionalFormatting>
  <conditionalFormatting sqref="S201">
    <cfRule type="cellIs" dxfId="120" priority="199" stopIfTrue="1" operator="lessThan">
      <formula>#REF!</formula>
    </cfRule>
  </conditionalFormatting>
  <conditionalFormatting sqref="S201">
    <cfRule type="cellIs" dxfId="119" priority="200" stopIfTrue="1" operator="lessThan">
      <formula>#REF!</formula>
    </cfRule>
  </conditionalFormatting>
  <conditionalFormatting sqref="S498">
    <cfRule type="cellIs" dxfId="118" priority="197" stopIfTrue="1" operator="lessThan">
      <formula>#REF!</formula>
    </cfRule>
  </conditionalFormatting>
  <conditionalFormatting sqref="S652">
    <cfRule type="cellIs" dxfId="117" priority="192" stopIfTrue="1" operator="lessThan">
      <formula>#REF!</formula>
    </cfRule>
  </conditionalFormatting>
  <conditionalFormatting sqref="S652">
    <cfRule type="cellIs" dxfId="116" priority="191" stopIfTrue="1" operator="lessThan">
      <formula>#REF!</formula>
    </cfRule>
  </conditionalFormatting>
  <conditionalFormatting sqref="S386">
    <cfRule type="cellIs" dxfId="115" priority="185" stopIfTrue="1" operator="lessThan">
      <formula>#REF!</formula>
    </cfRule>
  </conditionalFormatting>
  <conditionalFormatting sqref="S386">
    <cfRule type="cellIs" dxfId="114" priority="184" stopIfTrue="1" operator="lessThan">
      <formula>#REF!</formula>
    </cfRule>
  </conditionalFormatting>
  <conditionalFormatting sqref="S9">
    <cfRule type="cellIs" dxfId="113" priority="183" stopIfTrue="1" operator="lessThan">
      <formula>#REF!</formula>
    </cfRule>
  </conditionalFormatting>
  <conditionalFormatting sqref="S174">
    <cfRule type="cellIs" dxfId="112" priority="176" stopIfTrue="1" operator="lessThan">
      <formula>#REF!</formula>
    </cfRule>
  </conditionalFormatting>
  <conditionalFormatting sqref="S518">
    <cfRule type="cellIs" dxfId="111" priority="173" stopIfTrue="1" operator="lessThan">
      <formula>#REF!</formula>
    </cfRule>
  </conditionalFormatting>
  <conditionalFormatting sqref="S521">
    <cfRule type="cellIs" dxfId="110" priority="172" stopIfTrue="1" operator="lessThan">
      <formula>#REF!</formula>
    </cfRule>
  </conditionalFormatting>
  <conditionalFormatting sqref="S491 S493">
    <cfRule type="cellIs" dxfId="109" priority="163" stopIfTrue="1" operator="lessThan">
      <formula>#REF!</formula>
    </cfRule>
  </conditionalFormatting>
  <conditionalFormatting sqref="S525">
    <cfRule type="cellIs" dxfId="108" priority="162" stopIfTrue="1" operator="lessThan">
      <formula>#REF!</formula>
    </cfRule>
  </conditionalFormatting>
  <conditionalFormatting sqref="S507">
    <cfRule type="cellIs" dxfId="107" priority="161" stopIfTrue="1" operator="lessThan">
      <formula>#REF!</formula>
    </cfRule>
  </conditionalFormatting>
  <conditionalFormatting sqref="S507">
    <cfRule type="cellIs" dxfId="106" priority="160" stopIfTrue="1" operator="lessThan">
      <formula>#REF!</formula>
    </cfRule>
  </conditionalFormatting>
  <conditionalFormatting sqref="S541">
    <cfRule type="cellIs" dxfId="105" priority="159" stopIfTrue="1" operator="lessThan">
      <formula>#REF!</formula>
    </cfRule>
  </conditionalFormatting>
  <conditionalFormatting sqref="S496">
    <cfRule type="cellIs" dxfId="104" priority="158" stopIfTrue="1" operator="lessThan">
      <formula>#REF!</formula>
    </cfRule>
  </conditionalFormatting>
  <conditionalFormatting sqref="S540">
    <cfRule type="cellIs" dxfId="103" priority="157" stopIfTrue="1" operator="lessThan">
      <formula>#REF!</formula>
    </cfRule>
  </conditionalFormatting>
  <conditionalFormatting sqref="S509">
    <cfRule type="cellIs" dxfId="102" priority="156" stopIfTrue="1" operator="lessThan">
      <formula>#REF!</formula>
    </cfRule>
  </conditionalFormatting>
  <conditionalFormatting sqref="S538">
    <cfRule type="cellIs" dxfId="101" priority="155" stopIfTrue="1" operator="lessThan">
      <formula>#REF!</formula>
    </cfRule>
  </conditionalFormatting>
  <conditionalFormatting sqref="S511">
    <cfRule type="cellIs" dxfId="100" priority="154" stopIfTrue="1" operator="lessThan">
      <formula>#REF!</formula>
    </cfRule>
  </conditionalFormatting>
  <conditionalFormatting sqref="S535">
    <cfRule type="cellIs" dxfId="99" priority="153" stopIfTrue="1" operator="lessThan">
      <formula>#REF!</formula>
    </cfRule>
  </conditionalFormatting>
  <conditionalFormatting sqref="S155">
    <cfRule type="cellIs" dxfId="98" priority="147" stopIfTrue="1" operator="lessThan">
      <formula>#REF!</formula>
    </cfRule>
  </conditionalFormatting>
  <conditionalFormatting sqref="S252">
    <cfRule type="cellIs" dxfId="97" priority="144" stopIfTrue="1" operator="lessThan">
      <formula>#REF!</formula>
    </cfRule>
  </conditionalFormatting>
  <conditionalFormatting sqref="S651">
    <cfRule type="cellIs" dxfId="96" priority="143" stopIfTrue="1" operator="lessThan">
      <formula>#REF!</formula>
    </cfRule>
  </conditionalFormatting>
  <conditionalFormatting sqref="S420">
    <cfRule type="cellIs" dxfId="95" priority="142" stopIfTrue="1" operator="lessThan">
      <formula>#REF!</formula>
    </cfRule>
  </conditionalFormatting>
  <conditionalFormatting sqref="S434">
    <cfRule type="cellIs" dxfId="94" priority="141" stopIfTrue="1" operator="lessThan">
      <formula>#REF!</formula>
    </cfRule>
  </conditionalFormatting>
  <conditionalFormatting sqref="S490">
    <cfRule type="cellIs" dxfId="93" priority="133" stopIfTrue="1" operator="lessThan">
      <formula>#REF!</formula>
    </cfRule>
  </conditionalFormatting>
  <conditionalFormatting sqref="S495">
    <cfRule type="cellIs" dxfId="92" priority="132" stopIfTrue="1" operator="lessThan">
      <formula>#REF!</formula>
    </cfRule>
  </conditionalFormatting>
  <conditionalFormatting sqref="S508">
    <cfRule type="cellIs" dxfId="91" priority="131" stopIfTrue="1" operator="lessThan">
      <formula>#REF!</formula>
    </cfRule>
  </conditionalFormatting>
  <conditionalFormatting sqref="S492">
    <cfRule type="cellIs" dxfId="90" priority="130" stopIfTrue="1" operator="lessThan">
      <formula>#REF!</formula>
    </cfRule>
  </conditionalFormatting>
  <conditionalFormatting sqref="S506">
    <cfRule type="cellIs" dxfId="89" priority="129" stopIfTrue="1" operator="lessThan">
      <formula>#REF!</formula>
    </cfRule>
  </conditionalFormatting>
  <conditionalFormatting sqref="S506">
    <cfRule type="cellIs" dxfId="88" priority="128" stopIfTrue="1" operator="lessThan">
      <formula>#REF!</formula>
    </cfRule>
  </conditionalFormatting>
  <conditionalFormatting sqref="S539">
    <cfRule type="cellIs" dxfId="87" priority="126" stopIfTrue="1" operator="lessThan">
      <formula>#REF!</formula>
    </cfRule>
  </conditionalFormatting>
  <conditionalFormatting sqref="S406">
    <cfRule type="cellIs" dxfId="86" priority="124" stopIfTrue="1" operator="lessThan">
      <formula>#REF!</formula>
    </cfRule>
  </conditionalFormatting>
  <conditionalFormatting sqref="S487">
    <cfRule type="cellIs" dxfId="85" priority="122" stopIfTrue="1" operator="lessThan">
      <formula>#REF!</formula>
    </cfRule>
  </conditionalFormatting>
  <conditionalFormatting sqref="S481">
    <cfRule type="cellIs" dxfId="84" priority="121" stopIfTrue="1" operator="lessThan">
      <formula>#REF!</formula>
    </cfRule>
  </conditionalFormatting>
  <conditionalFormatting sqref="S489">
    <cfRule type="cellIs" dxfId="83" priority="120" stopIfTrue="1" operator="lessThan">
      <formula>#REF!</formula>
    </cfRule>
  </conditionalFormatting>
  <conditionalFormatting sqref="S485">
    <cfRule type="cellIs" dxfId="82" priority="118" stopIfTrue="1" operator="lessThan">
      <formula>#REF!</formula>
    </cfRule>
  </conditionalFormatting>
  <conditionalFormatting sqref="S485">
    <cfRule type="cellIs" dxfId="81" priority="119" stopIfTrue="1" operator="lessThan">
      <formula>#REF!</formula>
    </cfRule>
  </conditionalFormatting>
  <conditionalFormatting sqref="S482:S483">
    <cfRule type="cellIs" dxfId="80" priority="117" stopIfTrue="1" operator="lessThan">
      <formula>#REF!</formula>
    </cfRule>
  </conditionalFormatting>
  <conditionalFormatting sqref="S650">
    <cfRule type="cellIs" dxfId="79" priority="115" stopIfTrue="1" operator="lessThan">
      <formula>#REF!</formula>
    </cfRule>
  </conditionalFormatting>
  <conditionalFormatting sqref="S647">
    <cfRule type="cellIs" dxfId="78" priority="113" stopIfTrue="1" operator="lessThan">
      <formula>#REF!</formula>
    </cfRule>
  </conditionalFormatting>
  <conditionalFormatting sqref="S295">
    <cfRule type="cellIs" dxfId="77" priority="103" stopIfTrue="1" operator="lessThan">
      <formula>#REF!</formula>
    </cfRule>
  </conditionalFormatting>
  <conditionalFormatting sqref="S296">
    <cfRule type="cellIs" dxfId="76" priority="102" stopIfTrue="1" operator="lessThan">
      <formula>#REF!</formula>
    </cfRule>
  </conditionalFormatting>
  <conditionalFormatting sqref="S294">
    <cfRule type="cellIs" dxfId="75" priority="101" stopIfTrue="1" operator="lessThan">
      <formula>#REF!</formula>
    </cfRule>
  </conditionalFormatting>
  <conditionalFormatting sqref="S101">
    <cfRule type="cellIs" dxfId="74" priority="99" stopIfTrue="1" operator="lessThan">
      <formula>#REF!</formula>
    </cfRule>
  </conditionalFormatting>
  <conditionalFormatting sqref="S93">
    <cfRule type="cellIs" dxfId="73" priority="95" stopIfTrue="1" operator="lessThan">
      <formula>#REF!</formula>
    </cfRule>
  </conditionalFormatting>
  <conditionalFormatting sqref="S95">
    <cfRule type="cellIs" dxfId="72" priority="94" stopIfTrue="1" operator="lessThan">
      <formula>#REF!</formula>
    </cfRule>
  </conditionalFormatting>
  <conditionalFormatting sqref="S57:S58">
    <cfRule type="cellIs" dxfId="71" priority="90" stopIfTrue="1" operator="lessThan">
      <formula>#REF!</formula>
    </cfRule>
  </conditionalFormatting>
  <conditionalFormatting sqref="S57:S58">
    <cfRule type="cellIs" dxfId="70" priority="88" stopIfTrue="1" operator="lessThan">
      <formula>#REF!</formula>
    </cfRule>
  </conditionalFormatting>
  <conditionalFormatting sqref="S57:S58">
    <cfRule type="cellIs" dxfId="69" priority="91" stopIfTrue="1" operator="lessThan">
      <formula>#REF!</formula>
    </cfRule>
  </conditionalFormatting>
  <conditionalFormatting sqref="S57:S58">
    <cfRule type="cellIs" dxfId="68" priority="89" stopIfTrue="1" operator="lessThan">
      <formula>#REF!</formula>
    </cfRule>
  </conditionalFormatting>
  <conditionalFormatting sqref="S343">
    <cfRule type="cellIs" dxfId="67" priority="85" stopIfTrue="1" operator="lessThan">
      <formula>#REF!</formula>
    </cfRule>
  </conditionalFormatting>
  <conditionalFormatting sqref="S341">
    <cfRule type="cellIs" dxfId="66" priority="84" stopIfTrue="1" operator="lessThan">
      <formula>#REF!</formula>
    </cfRule>
  </conditionalFormatting>
  <conditionalFormatting sqref="S57:S58">
    <cfRule type="cellIs" dxfId="65" priority="86" stopIfTrue="1" operator="lessThan">
      <formula>#REF!</formula>
    </cfRule>
  </conditionalFormatting>
  <conditionalFormatting sqref="S175">
    <cfRule type="cellIs" dxfId="64" priority="80" stopIfTrue="1" operator="lessThan">
      <formula>#REF!</formula>
    </cfRule>
  </conditionalFormatting>
  <conditionalFormatting sqref="S57:S58">
    <cfRule type="cellIs" dxfId="63" priority="87" stopIfTrue="1" operator="lessThan">
      <formula>#REF!</formula>
    </cfRule>
  </conditionalFormatting>
  <conditionalFormatting sqref="S517">
    <cfRule type="cellIs" dxfId="62" priority="81" stopIfTrue="1" operator="lessThan">
      <formula>#REF!</formula>
    </cfRule>
  </conditionalFormatting>
  <conditionalFormatting sqref="S342">
    <cfRule type="cellIs" dxfId="61" priority="83" stopIfTrue="1" operator="lessThan">
      <formula>#REF!</formula>
    </cfRule>
  </conditionalFormatting>
  <conditionalFormatting sqref="S109">
    <cfRule type="cellIs" dxfId="60" priority="79" stopIfTrue="1" operator="lessThan">
      <formula>#REF!</formula>
    </cfRule>
  </conditionalFormatting>
  <conditionalFormatting sqref="S363">
    <cfRule type="cellIs" dxfId="59" priority="82" stopIfTrue="1" operator="lessThan">
      <formula>#REF!</formula>
    </cfRule>
  </conditionalFormatting>
  <conditionalFormatting sqref="S592">
    <cfRule type="cellIs" dxfId="58" priority="69" stopIfTrue="1" operator="lessThan">
      <formula>#REF!</formula>
    </cfRule>
  </conditionalFormatting>
  <conditionalFormatting sqref="S139">
    <cfRule type="cellIs" dxfId="57" priority="68" stopIfTrue="1" operator="lessThan">
      <formula>#REF!</formula>
    </cfRule>
  </conditionalFormatting>
  <conditionalFormatting sqref="S24">
    <cfRule type="cellIs" dxfId="56" priority="67" stopIfTrue="1" operator="lessThan">
      <formula>#REF!</formula>
    </cfRule>
  </conditionalFormatting>
  <conditionalFormatting sqref="S583">
    <cfRule type="cellIs" dxfId="55" priority="65" stopIfTrue="1" operator="lessThan">
      <formula>#REF!</formula>
    </cfRule>
  </conditionalFormatting>
  <conditionalFormatting sqref="S588">
    <cfRule type="cellIs" dxfId="54" priority="64" stopIfTrue="1" operator="lessThan">
      <formula>#REF!</formula>
    </cfRule>
  </conditionalFormatting>
  <conditionalFormatting sqref="S582">
    <cfRule type="cellIs" dxfId="53" priority="62" stopIfTrue="1" operator="lessThan">
      <formula>#REF!</formula>
    </cfRule>
  </conditionalFormatting>
  <conditionalFormatting sqref="S580">
    <cfRule type="cellIs" dxfId="52" priority="61" stopIfTrue="1" operator="lessThan">
      <formula>#REF!</formula>
    </cfRule>
  </conditionalFormatting>
  <conditionalFormatting sqref="S591">
    <cfRule type="cellIs" dxfId="51" priority="60" stopIfTrue="1" operator="lessThan">
      <formula>#REF!</formula>
    </cfRule>
  </conditionalFormatting>
  <conditionalFormatting sqref="S591">
    <cfRule type="cellIs" dxfId="50" priority="59" stopIfTrue="1" operator="lessThan">
      <formula>#REF!</formula>
    </cfRule>
  </conditionalFormatting>
  <conditionalFormatting sqref="S578">
    <cfRule type="cellIs" dxfId="49" priority="57" stopIfTrue="1" operator="lessThan">
      <formula>#REF!</formula>
    </cfRule>
  </conditionalFormatting>
  <conditionalFormatting sqref="S578">
    <cfRule type="cellIs" dxfId="48" priority="56" stopIfTrue="1" operator="lessThan">
      <formula>#REF!</formula>
    </cfRule>
  </conditionalFormatting>
  <conditionalFormatting sqref="S578">
    <cfRule type="cellIs" dxfId="47" priority="58" stopIfTrue="1" operator="lessThan">
      <formula>#REF!</formula>
    </cfRule>
  </conditionalFormatting>
  <conditionalFormatting sqref="S578">
    <cfRule type="cellIs" dxfId="46" priority="55" stopIfTrue="1" operator="lessThan">
      <formula>#REF!</formula>
    </cfRule>
  </conditionalFormatting>
  <conditionalFormatting sqref="S578">
    <cfRule type="cellIs" dxfId="45" priority="54" stopIfTrue="1" operator="lessThan">
      <formula>#REF!</formula>
    </cfRule>
  </conditionalFormatting>
  <conditionalFormatting sqref="S590">
    <cfRule type="cellIs" dxfId="44" priority="52" stopIfTrue="1" operator="lessThan">
      <formula>#REF!</formula>
    </cfRule>
  </conditionalFormatting>
  <conditionalFormatting sqref="S461">
    <cfRule type="cellIs" dxfId="43" priority="51" stopIfTrue="1" operator="lessThan">
      <formula>#REF!</formula>
    </cfRule>
  </conditionalFormatting>
  <conditionalFormatting sqref="S146">
    <cfRule type="cellIs" dxfId="42" priority="49" stopIfTrue="1" operator="lessThan">
      <formula>#REF!</formula>
    </cfRule>
  </conditionalFormatting>
  <conditionalFormatting sqref="S113">
    <cfRule type="cellIs" dxfId="41" priority="48" stopIfTrue="1" operator="lessThan">
      <formula>#REF!</formula>
    </cfRule>
  </conditionalFormatting>
  <conditionalFormatting sqref="S198">
    <cfRule type="cellIs" dxfId="40" priority="47" stopIfTrue="1" operator="lessThan">
      <formula>#REF!</formula>
    </cfRule>
  </conditionalFormatting>
  <conditionalFormatting sqref="S196">
    <cfRule type="cellIs" dxfId="39" priority="46" stopIfTrue="1" operator="lessThan">
      <formula>#REF!</formula>
    </cfRule>
  </conditionalFormatting>
  <conditionalFormatting sqref="S195">
    <cfRule type="cellIs" dxfId="38" priority="45" stopIfTrue="1" operator="lessThan">
      <formula>#REF!</formula>
    </cfRule>
  </conditionalFormatting>
  <conditionalFormatting sqref="S585">
    <cfRule type="cellIs" dxfId="37" priority="43" stopIfTrue="1" operator="lessThan">
      <formula>#REF!</formula>
    </cfRule>
  </conditionalFormatting>
  <conditionalFormatting sqref="S423">
    <cfRule type="cellIs" dxfId="36" priority="41" stopIfTrue="1" operator="lessThan">
      <formula>#REF!</formula>
    </cfRule>
  </conditionalFormatting>
  <conditionalFormatting sqref="S131">
    <cfRule type="cellIs" dxfId="35" priority="36" stopIfTrue="1" operator="lessThan">
      <formula>#REF!</formula>
    </cfRule>
  </conditionalFormatting>
  <conditionalFormatting sqref="S131">
    <cfRule type="cellIs" dxfId="34" priority="39" stopIfTrue="1" operator="lessThan">
      <formula>#REF!</formula>
    </cfRule>
  </conditionalFormatting>
  <conditionalFormatting sqref="S131">
    <cfRule type="cellIs" dxfId="33" priority="38" stopIfTrue="1" operator="lessThan">
      <formula>#REF!</formula>
    </cfRule>
  </conditionalFormatting>
  <conditionalFormatting sqref="S131">
    <cfRule type="cellIs" dxfId="32" priority="40" stopIfTrue="1" operator="lessThan">
      <formula>#REF!</formula>
    </cfRule>
  </conditionalFormatting>
  <conditionalFormatting sqref="S131">
    <cfRule type="cellIs" dxfId="31" priority="37" stopIfTrue="1" operator="lessThan">
      <formula>#REF!</formula>
    </cfRule>
  </conditionalFormatting>
  <conditionalFormatting sqref="S457">
    <cfRule type="cellIs" dxfId="30" priority="31" stopIfTrue="1" operator="lessThan">
      <formula>#REF!</formula>
    </cfRule>
  </conditionalFormatting>
  <conditionalFormatting sqref="S457">
    <cfRule type="cellIs" dxfId="29" priority="34" stopIfTrue="1" operator="lessThan">
      <formula>#REF!</formula>
    </cfRule>
  </conditionalFormatting>
  <conditionalFormatting sqref="S457">
    <cfRule type="cellIs" dxfId="28" priority="33" stopIfTrue="1" operator="lessThan">
      <formula>#REF!</formula>
    </cfRule>
  </conditionalFormatting>
  <conditionalFormatting sqref="S457">
    <cfRule type="cellIs" dxfId="27" priority="35" stopIfTrue="1" operator="lessThan">
      <formula>#REF!</formula>
    </cfRule>
  </conditionalFormatting>
  <conditionalFormatting sqref="S457">
    <cfRule type="cellIs" dxfId="26" priority="32" stopIfTrue="1" operator="lessThan">
      <formula>#REF!</formula>
    </cfRule>
  </conditionalFormatting>
  <conditionalFormatting sqref="S445">
    <cfRule type="cellIs" dxfId="25" priority="30" stopIfTrue="1" operator="lessThan">
      <formula>#REF!</formula>
    </cfRule>
  </conditionalFormatting>
  <conditionalFormatting sqref="S562">
    <cfRule type="cellIs" dxfId="24" priority="26" stopIfTrue="1" operator="lessThan">
      <formula>#REF!</formula>
    </cfRule>
  </conditionalFormatting>
  <conditionalFormatting sqref="S577">
    <cfRule type="cellIs" dxfId="23" priority="25" stopIfTrue="1" operator="lessThan">
      <formula>#REF!</formula>
    </cfRule>
  </conditionalFormatting>
  <conditionalFormatting sqref="S574">
    <cfRule type="cellIs" dxfId="22" priority="24" stopIfTrue="1" operator="lessThan">
      <formula>#REF!</formula>
    </cfRule>
  </conditionalFormatting>
  <conditionalFormatting sqref="S574">
    <cfRule type="cellIs" dxfId="21" priority="23" stopIfTrue="1" operator="lessThan">
      <formula>#REF!</formula>
    </cfRule>
  </conditionalFormatting>
  <conditionalFormatting sqref="S572">
    <cfRule type="cellIs" dxfId="20" priority="22" stopIfTrue="1" operator="lessThan">
      <formula>#REF!</formula>
    </cfRule>
  </conditionalFormatting>
  <conditionalFormatting sqref="S569">
    <cfRule type="cellIs" dxfId="19" priority="21" stopIfTrue="1" operator="lessThan">
      <formula>#REF!</formula>
    </cfRule>
  </conditionalFormatting>
  <conditionalFormatting sqref="S567">
    <cfRule type="cellIs" dxfId="18" priority="20" stopIfTrue="1" operator="lessThan">
      <formula>#REF!</formula>
    </cfRule>
  </conditionalFormatting>
  <conditionalFormatting sqref="S368">
    <cfRule type="cellIs" dxfId="17" priority="19" stopIfTrue="1" operator="lessThan">
      <formula>#REF!</formula>
    </cfRule>
  </conditionalFormatting>
  <conditionalFormatting sqref="S112">
    <cfRule type="cellIs" dxfId="16" priority="18" stopIfTrue="1" operator="lessThan">
      <formula>#REF!</formula>
    </cfRule>
  </conditionalFormatting>
  <conditionalFormatting sqref="S147">
    <cfRule type="cellIs" dxfId="15" priority="17" stopIfTrue="1" operator="lessThan">
      <formula>#REF!</formula>
    </cfRule>
  </conditionalFormatting>
  <conditionalFormatting sqref="S130">
    <cfRule type="cellIs" dxfId="14" priority="16" stopIfTrue="1" operator="lessThan">
      <formula>#REF!</formula>
    </cfRule>
  </conditionalFormatting>
  <conditionalFormatting sqref="S59">
    <cfRule type="cellIs" dxfId="13" priority="15" stopIfTrue="1" operator="lessThan">
      <formula>#REF!</formula>
    </cfRule>
  </conditionalFormatting>
  <conditionalFormatting sqref="S360">
    <cfRule type="cellIs" dxfId="12" priority="14" stopIfTrue="1" operator="lessThan">
      <formula>#REF!</formula>
    </cfRule>
  </conditionalFormatting>
  <conditionalFormatting sqref="S340">
    <cfRule type="cellIs" dxfId="11" priority="13" stopIfTrue="1" operator="lessThan">
      <formula>#REF!</formula>
    </cfRule>
  </conditionalFormatting>
  <conditionalFormatting sqref="S349">
    <cfRule type="cellIs" dxfId="10" priority="12" stopIfTrue="1" operator="lessThan">
      <formula>#REF!</formula>
    </cfRule>
  </conditionalFormatting>
  <conditionalFormatting sqref="S418:S419">
    <cfRule type="cellIs" dxfId="9" priority="11" stopIfTrue="1" operator="lessThan">
      <formula>#REF!</formula>
    </cfRule>
  </conditionalFormatting>
  <conditionalFormatting sqref="S16">
    <cfRule type="cellIs" dxfId="8" priority="10" stopIfTrue="1" operator="lessThan">
      <formula>#REF!</formula>
    </cfRule>
  </conditionalFormatting>
  <conditionalFormatting sqref="S17">
    <cfRule type="cellIs" dxfId="7" priority="9" stopIfTrue="1" operator="lessThan">
      <formula>#REF!</formula>
    </cfRule>
  </conditionalFormatting>
  <conditionalFormatting sqref="S310">
    <cfRule type="cellIs" dxfId="6" priority="8" stopIfTrue="1" operator="lessThan">
      <formula>#REF!</formula>
    </cfRule>
  </conditionalFormatting>
  <conditionalFormatting sqref="S602:S613">
    <cfRule type="cellIs" dxfId="5" priority="7" stopIfTrue="1" operator="lessThan">
      <formula>#REF!</formula>
    </cfRule>
  </conditionalFormatting>
  <conditionalFormatting sqref="S620:S627 S636:S637">
    <cfRule type="cellIs" dxfId="4" priority="6" stopIfTrue="1" operator="lessThan">
      <formula>#REF!</formula>
    </cfRule>
  </conditionalFormatting>
  <conditionalFormatting sqref="S628:S635">
    <cfRule type="cellIs" dxfId="3" priority="5" stopIfTrue="1" operator="lessThan">
      <formula>#REF!</formula>
    </cfRule>
  </conditionalFormatting>
  <conditionalFormatting sqref="S639:S640 S642:S643">
    <cfRule type="cellIs" dxfId="2" priority="4" stopIfTrue="1" operator="lessThan">
      <formula>#REF!</formula>
    </cfRule>
  </conditionalFormatting>
  <conditionalFormatting sqref="S638">
    <cfRule type="cellIs" dxfId="1" priority="3" stopIfTrue="1" operator="lessThan">
      <formula>#REF!</formula>
    </cfRule>
  </conditionalFormatting>
  <conditionalFormatting sqref="S641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50" fitToHeight="0" orientation="landscape" r:id="rId1"/>
  <headerFooter alignWithMargins="0">
    <oddFooter>Page &amp;P of &amp;N</oddFooter>
  </headerFooter>
  <rowBreaks count="1" manualBreakCount="1">
    <brk id="536" min="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4" customWidth="1"/>
    <col min="2" max="2" width="8.125" style="315" customWidth="1"/>
    <col min="3" max="3" width="19.625" style="481" customWidth="1"/>
    <col min="4" max="4" width="4.625" style="304" customWidth="1"/>
    <col min="5" max="5" width="3.125" style="223" customWidth="1"/>
    <col min="6" max="6" width="9.125" style="274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9" t="s">
        <v>1</v>
      </c>
      <c r="B1" s="316" t="s">
        <v>144</v>
      </c>
      <c r="C1" s="245" t="s">
        <v>63</v>
      </c>
      <c r="D1" s="229" t="s">
        <v>112</v>
      </c>
      <c r="E1" s="385"/>
      <c r="F1" s="269" t="s">
        <v>113</v>
      </c>
      <c r="H1" s="229" t="s">
        <v>1</v>
      </c>
      <c r="I1" s="316" t="s">
        <v>144</v>
      </c>
      <c r="J1" s="245" t="s">
        <v>63</v>
      </c>
      <c r="K1" s="229" t="s">
        <v>112</v>
      </c>
      <c r="L1" s="385"/>
      <c r="M1" s="269" t="s">
        <v>113</v>
      </c>
    </row>
    <row r="2" spans="1:13" ht="15.95" customHeight="1">
      <c r="A2" s="133"/>
      <c r="B2" s="387">
        <v>43060</v>
      </c>
      <c r="C2" s="460" t="s">
        <v>805</v>
      </c>
      <c r="D2" s="483">
        <v>1</v>
      </c>
      <c r="E2" s="243" t="s">
        <v>1160</v>
      </c>
      <c r="F2" s="388"/>
      <c r="G2" s="26"/>
      <c r="H2" s="169" t="s">
        <v>377</v>
      </c>
      <c r="I2" s="393">
        <v>42510</v>
      </c>
      <c r="J2" s="460" t="s">
        <v>417</v>
      </c>
      <c r="K2" s="484">
        <v>13</v>
      </c>
      <c r="L2" s="239" t="s">
        <v>17</v>
      </c>
      <c r="M2" s="390" t="s">
        <v>414</v>
      </c>
    </row>
    <row r="3" spans="1:13" ht="15.95" customHeight="1">
      <c r="A3" s="169" t="s">
        <v>50</v>
      </c>
      <c r="B3" s="389" t="s">
        <v>236</v>
      </c>
      <c r="C3" s="460" t="s">
        <v>237</v>
      </c>
      <c r="D3" s="484">
        <v>1</v>
      </c>
      <c r="E3" s="237" t="s">
        <v>18</v>
      </c>
      <c r="F3" s="390"/>
      <c r="G3" s="26"/>
      <c r="H3" s="123" t="s">
        <v>470</v>
      </c>
      <c r="I3" s="387">
        <v>42888</v>
      </c>
      <c r="J3" s="461" t="s">
        <v>347</v>
      </c>
      <c r="K3" s="483">
        <v>8</v>
      </c>
      <c r="L3" s="237" t="s">
        <v>17</v>
      </c>
      <c r="M3" s="406"/>
    </row>
    <row r="4" spans="1:13" ht="15.95" customHeight="1">
      <c r="A4" s="169" t="s">
        <v>741</v>
      </c>
      <c r="B4" s="391">
        <v>42452</v>
      </c>
      <c r="C4" s="461" t="s">
        <v>386</v>
      </c>
      <c r="D4" s="484">
        <v>1</v>
      </c>
      <c r="E4" s="238" t="s">
        <v>17</v>
      </c>
      <c r="F4" s="392"/>
      <c r="G4" s="26"/>
      <c r="H4" s="169" t="s">
        <v>518</v>
      </c>
      <c r="I4" s="387">
        <v>42195</v>
      </c>
      <c r="J4" s="461" t="s">
        <v>347</v>
      </c>
      <c r="K4" s="483">
        <v>1</v>
      </c>
      <c r="L4" s="242" t="s">
        <v>18</v>
      </c>
      <c r="M4" s="410" t="s">
        <v>694</v>
      </c>
    </row>
    <row r="5" spans="1:13" ht="15.95" customHeight="1">
      <c r="A5" s="15" t="s">
        <v>264</v>
      </c>
      <c r="B5" s="393">
        <v>43110</v>
      </c>
      <c r="C5" s="460" t="s">
        <v>851</v>
      </c>
      <c r="D5" s="484">
        <v>91</v>
      </c>
      <c r="E5" s="239" t="s">
        <v>17</v>
      </c>
      <c r="F5" s="394"/>
      <c r="G5" s="26"/>
      <c r="H5" s="249" t="s">
        <v>1071</v>
      </c>
      <c r="I5" s="395">
        <v>43172</v>
      </c>
      <c r="J5" s="467" t="s">
        <v>999</v>
      </c>
      <c r="K5" s="485">
        <v>115</v>
      </c>
      <c r="L5" s="77" t="s">
        <v>17</v>
      </c>
      <c r="M5" s="388"/>
    </row>
    <row r="6" spans="1:13" ht="15.95" customHeight="1">
      <c r="A6" s="133" t="s">
        <v>19</v>
      </c>
      <c r="B6" s="387">
        <v>41180</v>
      </c>
      <c r="C6" s="460" t="s">
        <v>61</v>
      </c>
      <c r="D6" s="483">
        <v>15</v>
      </c>
      <c r="E6" s="243" t="s">
        <v>1160</v>
      </c>
      <c r="F6" s="388"/>
      <c r="G6" s="26"/>
      <c r="H6" s="169" t="s">
        <v>607</v>
      </c>
      <c r="I6" s="391">
        <v>42234</v>
      </c>
      <c r="J6" s="461" t="s">
        <v>265</v>
      </c>
      <c r="K6" s="484">
        <v>9</v>
      </c>
      <c r="L6" s="238" t="s">
        <v>1160</v>
      </c>
      <c r="M6" s="411" t="s">
        <v>943</v>
      </c>
    </row>
    <row r="7" spans="1:13" ht="15.95" customHeight="1">
      <c r="A7" s="15" t="s">
        <v>576</v>
      </c>
      <c r="B7" s="395">
        <v>43049</v>
      </c>
      <c r="C7" s="462" t="s">
        <v>779</v>
      </c>
      <c r="D7" s="485">
        <v>1.67</v>
      </c>
      <c r="E7" s="77" t="s">
        <v>17</v>
      </c>
      <c r="F7" s="396" t="s">
        <v>938</v>
      </c>
      <c r="G7" s="26"/>
      <c r="H7" s="133" t="s">
        <v>19</v>
      </c>
      <c r="I7" s="387">
        <v>40646</v>
      </c>
      <c r="J7" s="460" t="s">
        <v>22</v>
      </c>
      <c r="K7" s="483">
        <v>1</v>
      </c>
      <c r="L7" s="237" t="s">
        <v>21</v>
      </c>
      <c r="M7" s="388"/>
    </row>
    <row r="8" spans="1:13" ht="15.95" customHeight="1">
      <c r="A8" s="249" t="s">
        <v>990</v>
      </c>
      <c r="B8" s="389">
        <v>42793</v>
      </c>
      <c r="C8" s="460" t="s">
        <v>604</v>
      </c>
      <c r="D8" s="483">
        <v>1</v>
      </c>
      <c r="E8" s="243" t="s">
        <v>1160</v>
      </c>
      <c r="F8" s="390"/>
      <c r="G8" s="26"/>
      <c r="H8" s="291"/>
      <c r="I8" s="412" t="s">
        <v>144</v>
      </c>
      <c r="J8" s="470" t="s">
        <v>786</v>
      </c>
      <c r="K8" s="292" t="s">
        <v>145</v>
      </c>
      <c r="L8" s="412"/>
      <c r="M8" s="412" t="s">
        <v>146</v>
      </c>
    </row>
    <row r="9" spans="1:13" ht="15.95" customHeight="1">
      <c r="A9" s="133" t="s">
        <v>19</v>
      </c>
      <c r="B9" s="387">
        <v>40647</v>
      </c>
      <c r="C9" s="460" t="s">
        <v>25</v>
      </c>
      <c r="D9" s="483">
        <v>15</v>
      </c>
      <c r="E9" s="243" t="s">
        <v>1160</v>
      </c>
      <c r="F9" s="388"/>
      <c r="G9" s="26"/>
      <c r="H9" s="169" t="s">
        <v>51</v>
      </c>
      <c r="I9" s="387">
        <v>40876</v>
      </c>
      <c r="J9" s="460" t="s">
        <v>42</v>
      </c>
      <c r="K9" s="483">
        <v>8</v>
      </c>
      <c r="L9" s="237" t="s">
        <v>17</v>
      </c>
      <c r="M9" s="413" t="s">
        <v>33</v>
      </c>
    </row>
    <row r="10" spans="1:13" ht="15.95" customHeight="1">
      <c r="A10" s="133" t="s">
        <v>19</v>
      </c>
      <c r="B10" s="387">
        <v>40647</v>
      </c>
      <c r="C10" s="460" t="s">
        <v>24</v>
      </c>
      <c r="D10" s="483">
        <v>15</v>
      </c>
      <c r="E10" s="243" t="s">
        <v>1160</v>
      </c>
      <c r="F10" s="388"/>
      <c r="G10" s="26"/>
      <c r="H10" s="169" t="s">
        <v>51</v>
      </c>
      <c r="I10" s="387">
        <v>40925</v>
      </c>
      <c r="J10" s="460" t="s">
        <v>42</v>
      </c>
      <c r="K10" s="483">
        <v>10</v>
      </c>
      <c r="L10" s="237" t="s">
        <v>17</v>
      </c>
      <c r="M10" s="413" t="s">
        <v>33</v>
      </c>
    </row>
    <row r="11" spans="1:13" ht="15.95" customHeight="1">
      <c r="A11" s="133" t="s">
        <v>19</v>
      </c>
      <c r="B11" s="387">
        <v>40647</v>
      </c>
      <c r="C11" s="460" t="s">
        <v>27</v>
      </c>
      <c r="D11" s="483">
        <v>15</v>
      </c>
      <c r="E11" s="243" t="s">
        <v>1160</v>
      </c>
      <c r="F11" s="388"/>
      <c r="G11" s="26"/>
      <c r="H11" s="169" t="s">
        <v>780</v>
      </c>
      <c r="I11" s="387"/>
      <c r="J11" s="460" t="s">
        <v>642</v>
      </c>
      <c r="K11" s="483">
        <v>1</v>
      </c>
      <c r="L11" s="237" t="s">
        <v>268</v>
      </c>
      <c r="M11" s="390"/>
    </row>
    <row r="12" spans="1:13" ht="15.95" customHeight="1">
      <c r="A12" s="133" t="s">
        <v>19</v>
      </c>
      <c r="B12" s="387">
        <v>40647</v>
      </c>
      <c r="C12" s="460" t="s">
        <v>26</v>
      </c>
      <c r="D12" s="483">
        <v>5</v>
      </c>
      <c r="E12" s="243" t="s">
        <v>1160</v>
      </c>
      <c r="F12" s="388"/>
      <c r="G12" s="26"/>
      <c r="H12" s="169" t="s">
        <v>829</v>
      </c>
      <c r="I12" s="395">
        <v>43185</v>
      </c>
      <c r="J12" s="466" t="s">
        <v>230</v>
      </c>
      <c r="K12" s="485">
        <v>250</v>
      </c>
      <c r="L12" s="77" t="s">
        <v>740</v>
      </c>
      <c r="M12" s="388"/>
    </row>
    <row r="13" spans="1:13" ht="15.95" customHeight="1">
      <c r="A13" s="133" t="s">
        <v>19</v>
      </c>
      <c r="B13" s="387">
        <v>41180</v>
      </c>
      <c r="C13" s="460" t="s">
        <v>58</v>
      </c>
      <c r="D13" s="483">
        <v>1</v>
      </c>
      <c r="E13" s="237" t="s">
        <v>17</v>
      </c>
      <c r="F13" s="388"/>
      <c r="G13" s="26"/>
      <c r="H13" s="85" t="s">
        <v>467</v>
      </c>
      <c r="I13" s="399">
        <v>43185</v>
      </c>
      <c r="J13" s="468" t="s">
        <v>230</v>
      </c>
      <c r="K13" s="486">
        <v>0</v>
      </c>
      <c r="L13" s="86" t="s">
        <v>740</v>
      </c>
      <c r="M13" s="388" t="s">
        <v>1291</v>
      </c>
    </row>
    <row r="14" spans="1:13" ht="15.95" customHeight="1">
      <c r="A14" s="133" t="s">
        <v>19</v>
      </c>
      <c r="B14" s="387">
        <v>41180</v>
      </c>
      <c r="C14" s="460" t="s">
        <v>59</v>
      </c>
      <c r="D14" s="483">
        <v>1</v>
      </c>
      <c r="E14" s="237" t="s">
        <v>17</v>
      </c>
      <c r="F14" s="388"/>
      <c r="G14" s="26"/>
      <c r="H14" s="123" t="s">
        <v>878</v>
      </c>
      <c r="I14" s="395">
        <v>43185</v>
      </c>
      <c r="J14" s="466" t="s">
        <v>230</v>
      </c>
      <c r="K14" s="485">
        <v>300</v>
      </c>
      <c r="L14" s="77" t="s">
        <v>740</v>
      </c>
      <c r="M14" s="388"/>
    </row>
    <row r="15" spans="1:13" ht="15.95" customHeight="1">
      <c r="A15" s="133" t="s">
        <v>19</v>
      </c>
      <c r="B15" s="387">
        <v>41180</v>
      </c>
      <c r="C15" s="460" t="s">
        <v>60</v>
      </c>
      <c r="D15" s="483">
        <v>1</v>
      </c>
      <c r="E15" s="237" t="s">
        <v>17</v>
      </c>
      <c r="F15" s="388"/>
      <c r="G15" s="26"/>
      <c r="H15" s="169" t="s">
        <v>830</v>
      </c>
      <c r="I15" s="395">
        <v>43185</v>
      </c>
      <c r="J15" s="466" t="s">
        <v>230</v>
      </c>
      <c r="K15" s="485">
        <v>342</v>
      </c>
      <c r="L15" s="77" t="s">
        <v>740</v>
      </c>
      <c r="M15" s="388"/>
    </row>
    <row r="16" spans="1:13" ht="15.95" customHeight="1">
      <c r="A16" s="169" t="s">
        <v>813</v>
      </c>
      <c r="B16" s="391">
        <v>43124</v>
      </c>
      <c r="C16" s="463" t="s">
        <v>1019</v>
      </c>
      <c r="D16" s="484">
        <v>26</v>
      </c>
      <c r="E16" s="239" t="s">
        <v>17</v>
      </c>
      <c r="F16" s="392"/>
      <c r="G16" s="26"/>
      <c r="H16" s="169" t="s">
        <v>703</v>
      </c>
      <c r="I16" s="395">
        <v>43185</v>
      </c>
      <c r="J16" s="375" t="s">
        <v>230</v>
      </c>
      <c r="K16" s="485">
        <v>300</v>
      </c>
      <c r="L16" s="77" t="s">
        <v>740</v>
      </c>
      <c r="M16" s="388"/>
    </row>
    <row r="17" spans="1:13" ht="15.95" customHeight="1">
      <c r="A17" s="360" t="s">
        <v>860</v>
      </c>
      <c r="B17" s="397" t="s">
        <v>860</v>
      </c>
      <c r="C17" s="464" t="s">
        <v>860</v>
      </c>
      <c r="D17" s="374" t="s">
        <v>860</v>
      </c>
      <c r="E17" s="397" t="s">
        <v>860</v>
      </c>
      <c r="F17" s="397" t="s">
        <v>860</v>
      </c>
      <c r="G17" s="26"/>
      <c r="H17" s="249" t="s">
        <v>657</v>
      </c>
      <c r="I17" s="387">
        <v>43033</v>
      </c>
      <c r="J17" s="460" t="s">
        <v>230</v>
      </c>
      <c r="K17" s="485">
        <v>200</v>
      </c>
      <c r="L17" s="77" t="s">
        <v>740</v>
      </c>
      <c r="M17" s="394"/>
    </row>
    <row r="18" spans="1:13" ht="15.95" customHeight="1">
      <c r="A18" s="249" t="s">
        <v>1262</v>
      </c>
      <c r="B18" s="395">
        <v>43213</v>
      </c>
      <c r="C18" s="375" t="s">
        <v>259</v>
      </c>
      <c r="D18" s="485">
        <v>525</v>
      </c>
      <c r="E18" s="77" t="s">
        <v>740</v>
      </c>
      <c r="F18" s="388"/>
      <c r="G18" s="26"/>
      <c r="H18" s="249" t="s">
        <v>415</v>
      </c>
      <c r="I18" s="395">
        <v>43185</v>
      </c>
      <c r="J18" s="375" t="s">
        <v>230</v>
      </c>
      <c r="K18" s="485">
        <v>600</v>
      </c>
      <c r="L18" s="77" t="s">
        <v>740</v>
      </c>
      <c r="M18" s="388"/>
    </row>
    <row r="19" spans="1:13" ht="15.95" customHeight="1">
      <c r="A19" s="249" t="s">
        <v>1263</v>
      </c>
      <c r="B19" s="395">
        <v>43213</v>
      </c>
      <c r="C19" s="375" t="s">
        <v>259</v>
      </c>
      <c r="D19" s="485">
        <v>490</v>
      </c>
      <c r="E19" s="77" t="s">
        <v>740</v>
      </c>
      <c r="F19" s="388"/>
      <c r="G19" s="26"/>
      <c r="H19" s="169" t="s">
        <v>464</v>
      </c>
      <c r="I19" s="391">
        <v>42552</v>
      </c>
      <c r="J19" s="461" t="s">
        <v>230</v>
      </c>
      <c r="K19" s="484">
        <v>50</v>
      </c>
      <c r="L19" s="238" t="s">
        <v>1160</v>
      </c>
      <c r="M19" s="398" t="s">
        <v>1205</v>
      </c>
    </row>
    <row r="20" spans="1:13" ht="15.95" customHeight="1">
      <c r="A20" s="169" t="s">
        <v>427</v>
      </c>
      <c r="B20" s="391">
        <v>42296</v>
      </c>
      <c r="C20" s="461" t="s">
        <v>259</v>
      </c>
      <c r="D20" s="484">
        <v>100</v>
      </c>
      <c r="E20" s="238" t="s">
        <v>1160</v>
      </c>
      <c r="F20" s="398" t="s">
        <v>666</v>
      </c>
      <c r="G20" s="26"/>
      <c r="H20" s="169" t="s">
        <v>427</v>
      </c>
      <c r="I20" s="414">
        <v>42779</v>
      </c>
      <c r="J20" s="471" t="s">
        <v>590</v>
      </c>
      <c r="K20" s="483">
        <v>48</v>
      </c>
      <c r="L20" s="241" t="s">
        <v>1160</v>
      </c>
      <c r="M20" s="415" t="s">
        <v>64</v>
      </c>
    </row>
    <row r="21" spans="1:13" ht="15.95" customHeight="1">
      <c r="A21" s="169" t="s">
        <v>575</v>
      </c>
      <c r="B21" s="395">
        <v>43115</v>
      </c>
      <c r="C21" s="460" t="s">
        <v>328</v>
      </c>
      <c r="D21" s="485">
        <v>600</v>
      </c>
      <c r="E21" s="77" t="s">
        <v>740</v>
      </c>
      <c r="F21" s="394"/>
      <c r="G21" s="26"/>
      <c r="H21" s="169" t="s">
        <v>206</v>
      </c>
      <c r="I21" s="395">
        <v>43168</v>
      </c>
      <c r="J21" s="466" t="s">
        <v>578</v>
      </c>
      <c r="K21" s="485">
        <v>7</v>
      </c>
      <c r="L21" s="77" t="s">
        <v>17</v>
      </c>
      <c r="M21" s="388"/>
    </row>
    <row r="22" spans="1:13" ht="15.95" customHeight="1">
      <c r="A22" s="85" t="s">
        <v>467</v>
      </c>
      <c r="B22" s="399">
        <v>43115</v>
      </c>
      <c r="C22" s="465" t="s">
        <v>328</v>
      </c>
      <c r="D22" s="486">
        <v>0</v>
      </c>
      <c r="E22" s="86" t="s">
        <v>740</v>
      </c>
      <c r="F22" s="388" t="s">
        <v>1290</v>
      </c>
      <c r="G22" s="26"/>
      <c r="H22" s="169" t="s">
        <v>233</v>
      </c>
      <c r="I22" s="387">
        <v>42760</v>
      </c>
      <c r="J22" s="463" t="s">
        <v>578</v>
      </c>
      <c r="K22" s="483">
        <v>1</v>
      </c>
      <c r="L22" s="237" t="s">
        <v>17</v>
      </c>
      <c r="M22" s="392" t="s">
        <v>856</v>
      </c>
    </row>
    <row r="23" spans="1:13" ht="15.95" customHeight="1">
      <c r="A23" s="123" t="s">
        <v>536</v>
      </c>
      <c r="B23" s="395">
        <v>43115</v>
      </c>
      <c r="C23" s="460" t="s">
        <v>328</v>
      </c>
      <c r="D23" s="485">
        <v>600</v>
      </c>
      <c r="E23" s="77" t="s">
        <v>740</v>
      </c>
      <c r="F23" s="394"/>
      <c r="G23" s="26"/>
      <c r="H23" s="169" t="s">
        <v>741</v>
      </c>
      <c r="I23" s="387">
        <v>42822</v>
      </c>
      <c r="J23" s="460" t="s">
        <v>638</v>
      </c>
      <c r="K23" s="485">
        <v>2</v>
      </c>
      <c r="L23" s="77" t="s">
        <v>17</v>
      </c>
      <c r="M23" s="394"/>
    </row>
    <row r="24" spans="1:13" ht="15.95" customHeight="1">
      <c r="A24" s="249" t="s">
        <v>489</v>
      </c>
      <c r="B24" s="395">
        <v>43115</v>
      </c>
      <c r="C24" s="375" t="s">
        <v>328</v>
      </c>
      <c r="D24" s="485">
        <v>250</v>
      </c>
      <c r="E24" s="77" t="s">
        <v>740</v>
      </c>
      <c r="F24" s="388"/>
      <c r="G24" s="26"/>
      <c r="H24" s="169" t="s">
        <v>784</v>
      </c>
      <c r="I24" s="414">
        <v>43167</v>
      </c>
      <c r="J24" s="471" t="s">
        <v>828</v>
      </c>
      <c r="K24" s="483">
        <v>1</v>
      </c>
      <c r="L24" s="241" t="s">
        <v>17</v>
      </c>
      <c r="M24" s="415"/>
    </row>
    <row r="25" spans="1:13" ht="15.95" customHeight="1">
      <c r="A25" s="169" t="s">
        <v>464</v>
      </c>
      <c r="B25" s="393">
        <v>43004</v>
      </c>
      <c r="C25" s="460" t="s">
        <v>328</v>
      </c>
      <c r="D25" s="484">
        <v>50</v>
      </c>
      <c r="E25" s="239" t="s">
        <v>740</v>
      </c>
      <c r="F25" s="396"/>
      <c r="G25" s="26"/>
      <c r="H25" s="169" t="s">
        <v>784</v>
      </c>
      <c r="I25" s="414">
        <v>43167</v>
      </c>
      <c r="J25" s="471" t="s">
        <v>828</v>
      </c>
      <c r="K25" s="483">
        <v>80</v>
      </c>
      <c r="L25" s="243" t="s">
        <v>1160</v>
      </c>
      <c r="M25" s="415"/>
    </row>
    <row r="26" spans="1:13" ht="15.95" customHeight="1">
      <c r="A26" s="169" t="s">
        <v>575</v>
      </c>
      <c r="B26" s="387">
        <v>42725</v>
      </c>
      <c r="C26" s="461" t="s">
        <v>328</v>
      </c>
      <c r="D26" s="483">
        <v>73</v>
      </c>
      <c r="E26" s="237" t="s">
        <v>1160</v>
      </c>
      <c r="F26" s="400" t="s">
        <v>695</v>
      </c>
      <c r="G26" s="26"/>
      <c r="H26" s="249" t="s">
        <v>652</v>
      </c>
      <c r="I26" s="395">
        <v>43187</v>
      </c>
      <c r="J26" s="466" t="s">
        <v>828</v>
      </c>
      <c r="K26" s="485">
        <v>2</v>
      </c>
      <c r="L26" s="77" t="s">
        <v>17</v>
      </c>
      <c r="M26" s="416"/>
    </row>
    <row r="27" spans="1:13" ht="15.95" customHeight="1">
      <c r="A27" s="123" t="s">
        <v>975</v>
      </c>
      <c r="B27" s="395">
        <v>43172</v>
      </c>
      <c r="C27" s="466" t="s">
        <v>994</v>
      </c>
      <c r="D27" s="485">
        <v>28</v>
      </c>
      <c r="E27" s="77" t="s">
        <v>17</v>
      </c>
      <c r="F27" s="388"/>
      <c r="G27" s="26"/>
      <c r="H27" s="169" t="s">
        <v>784</v>
      </c>
      <c r="I27" s="414">
        <v>43167</v>
      </c>
      <c r="J27" s="471" t="s">
        <v>509</v>
      </c>
      <c r="K27" s="483">
        <v>8</v>
      </c>
      <c r="L27" s="241" t="s">
        <v>17</v>
      </c>
      <c r="M27" s="415"/>
    </row>
    <row r="28" spans="1:13" ht="15.95" customHeight="1">
      <c r="A28" s="169" t="s">
        <v>529</v>
      </c>
      <c r="B28" s="395">
        <v>43139</v>
      </c>
      <c r="C28" s="466" t="s">
        <v>994</v>
      </c>
      <c r="D28" s="485">
        <v>30</v>
      </c>
      <c r="E28" s="77" t="s">
        <v>17</v>
      </c>
      <c r="F28" s="388"/>
      <c r="G28" s="26"/>
      <c r="H28" s="249" t="s">
        <v>458</v>
      </c>
      <c r="I28" s="387">
        <v>43187</v>
      </c>
      <c r="J28" s="461" t="s">
        <v>509</v>
      </c>
      <c r="K28" s="484">
        <v>4</v>
      </c>
      <c r="L28" s="239" t="s">
        <v>17</v>
      </c>
      <c r="M28" s="417"/>
    </row>
    <row r="29" spans="1:13" ht="15.95" customHeight="1">
      <c r="A29" s="169" t="s">
        <v>568</v>
      </c>
      <c r="B29" s="395">
        <v>43172</v>
      </c>
      <c r="C29" s="466" t="s">
        <v>994</v>
      </c>
      <c r="D29" s="485">
        <v>12</v>
      </c>
      <c r="E29" s="77" t="s">
        <v>17</v>
      </c>
      <c r="F29" s="388"/>
      <c r="G29" s="26"/>
      <c r="H29" s="249" t="s">
        <v>454</v>
      </c>
      <c r="I29" s="387">
        <v>43187</v>
      </c>
      <c r="J29" s="461" t="s">
        <v>509</v>
      </c>
      <c r="K29" s="484">
        <v>5</v>
      </c>
      <c r="L29" s="239" t="s">
        <v>17</v>
      </c>
      <c r="M29" s="417"/>
    </row>
    <row r="30" spans="1:13" ht="15.95" customHeight="1">
      <c r="A30" s="169" t="s">
        <v>372</v>
      </c>
      <c r="B30" s="401">
        <v>43172</v>
      </c>
      <c r="C30" s="460" t="s">
        <v>994</v>
      </c>
      <c r="D30" s="484">
        <v>108</v>
      </c>
      <c r="E30" s="77" t="s">
        <v>17</v>
      </c>
      <c r="F30" s="402"/>
      <c r="G30" s="26"/>
      <c r="H30" s="51" t="s">
        <v>742</v>
      </c>
      <c r="I30" s="407">
        <v>43187</v>
      </c>
      <c r="J30" s="469" t="s">
        <v>509</v>
      </c>
      <c r="K30" s="486">
        <v>0</v>
      </c>
      <c r="L30" s="86" t="s">
        <v>17</v>
      </c>
      <c r="M30" s="417" t="s">
        <v>1082</v>
      </c>
    </row>
    <row r="31" spans="1:13" ht="15.95" customHeight="1">
      <c r="A31" s="123" t="s">
        <v>556</v>
      </c>
      <c r="B31" s="395">
        <v>43172</v>
      </c>
      <c r="C31" s="466" t="s">
        <v>994</v>
      </c>
      <c r="D31" s="485">
        <v>108</v>
      </c>
      <c r="E31" s="77" t="s">
        <v>17</v>
      </c>
      <c r="F31" s="388"/>
      <c r="G31" s="26"/>
      <c r="H31" s="169" t="s">
        <v>744</v>
      </c>
      <c r="I31" s="389">
        <v>42285</v>
      </c>
      <c r="J31" s="461" t="s">
        <v>338</v>
      </c>
      <c r="K31" s="484">
        <v>4</v>
      </c>
      <c r="L31" s="238" t="s">
        <v>17</v>
      </c>
      <c r="M31" s="392"/>
    </row>
    <row r="32" spans="1:13" ht="15.95" customHeight="1">
      <c r="A32" s="249" t="s">
        <v>722</v>
      </c>
      <c r="B32" s="395">
        <v>42871</v>
      </c>
      <c r="C32" s="462" t="s">
        <v>665</v>
      </c>
      <c r="D32" s="485">
        <v>63</v>
      </c>
      <c r="E32" s="77" t="s">
        <v>17</v>
      </c>
      <c r="F32" s="403" t="s">
        <v>1150</v>
      </c>
      <c r="G32" s="26"/>
      <c r="H32" s="169" t="s">
        <v>744</v>
      </c>
      <c r="I32" s="391">
        <v>42422</v>
      </c>
      <c r="J32" s="461" t="s">
        <v>88</v>
      </c>
      <c r="K32" s="247">
        <v>5</v>
      </c>
      <c r="L32" s="243" t="s">
        <v>1134</v>
      </c>
      <c r="M32" s="406"/>
    </row>
    <row r="33" spans="1:13" ht="15.95" customHeight="1">
      <c r="A33" s="249" t="s">
        <v>1075</v>
      </c>
      <c r="B33" s="395">
        <v>43172</v>
      </c>
      <c r="C33" s="467" t="s">
        <v>997</v>
      </c>
      <c r="D33" s="485">
        <v>72</v>
      </c>
      <c r="E33" s="77" t="s">
        <v>17</v>
      </c>
      <c r="F33" s="388"/>
      <c r="G33" s="26"/>
      <c r="H33" s="169" t="s">
        <v>741</v>
      </c>
      <c r="I33" s="387">
        <v>42382</v>
      </c>
      <c r="J33" s="460" t="s">
        <v>88</v>
      </c>
      <c r="K33" s="485">
        <v>8</v>
      </c>
      <c r="L33" s="243" t="s">
        <v>1134</v>
      </c>
      <c r="M33" s="394"/>
    </row>
    <row r="34" spans="1:13" ht="15.95" customHeight="1">
      <c r="A34" s="169" t="s">
        <v>464</v>
      </c>
      <c r="B34" s="395">
        <v>43139</v>
      </c>
      <c r="C34" s="466" t="s">
        <v>996</v>
      </c>
      <c r="D34" s="485">
        <v>3</v>
      </c>
      <c r="E34" s="77" t="s">
        <v>17</v>
      </c>
      <c r="F34" s="388"/>
      <c r="G34" s="26"/>
      <c r="H34" s="249" t="s">
        <v>518</v>
      </c>
      <c r="I34" s="393">
        <v>43005</v>
      </c>
      <c r="J34" s="460" t="s">
        <v>833</v>
      </c>
      <c r="K34" s="484">
        <v>8</v>
      </c>
      <c r="L34" s="239" t="s">
        <v>17</v>
      </c>
      <c r="M34" s="396"/>
    </row>
    <row r="35" spans="1:13" ht="15.95" customHeight="1">
      <c r="A35" s="123" t="s">
        <v>975</v>
      </c>
      <c r="B35" s="395">
        <v>43109</v>
      </c>
      <c r="C35" s="462" t="s">
        <v>996</v>
      </c>
      <c r="D35" s="485">
        <v>4</v>
      </c>
      <c r="E35" s="77" t="s">
        <v>17</v>
      </c>
      <c r="F35" s="394"/>
      <c r="G35" s="26"/>
      <c r="H35" s="123" t="s">
        <v>935</v>
      </c>
      <c r="I35" s="393">
        <v>43005</v>
      </c>
      <c r="J35" s="460" t="s">
        <v>833</v>
      </c>
      <c r="K35" s="484">
        <v>3</v>
      </c>
      <c r="L35" s="239" t="s">
        <v>17</v>
      </c>
      <c r="M35" s="396"/>
    </row>
    <row r="36" spans="1:13" ht="15.95" customHeight="1">
      <c r="A36" s="169" t="s">
        <v>568</v>
      </c>
      <c r="B36" s="393">
        <v>43139</v>
      </c>
      <c r="C36" s="460" t="s">
        <v>996</v>
      </c>
      <c r="D36" s="484">
        <v>9</v>
      </c>
      <c r="E36" s="239" t="s">
        <v>17</v>
      </c>
      <c r="F36" s="388" t="s">
        <v>1254</v>
      </c>
      <c r="G36" s="26"/>
      <c r="H36" s="169" t="s">
        <v>744</v>
      </c>
      <c r="I36" s="414">
        <v>42776</v>
      </c>
      <c r="J36" s="471" t="s">
        <v>588</v>
      </c>
      <c r="K36" s="483">
        <v>4</v>
      </c>
      <c r="L36" s="241" t="s">
        <v>17</v>
      </c>
      <c r="M36" s="415"/>
    </row>
    <row r="37" spans="1:13" ht="15.95" customHeight="1">
      <c r="A37" s="169" t="s">
        <v>568</v>
      </c>
      <c r="B37" s="387">
        <v>43003</v>
      </c>
      <c r="C37" s="460" t="s">
        <v>934</v>
      </c>
      <c r="D37" s="483">
        <v>4</v>
      </c>
      <c r="E37" s="237" t="s">
        <v>17</v>
      </c>
      <c r="F37" s="404" t="s">
        <v>1029</v>
      </c>
      <c r="G37" s="26"/>
      <c r="H37" s="169" t="s">
        <v>607</v>
      </c>
      <c r="I37" s="414"/>
      <c r="J37" s="472" t="s">
        <v>615</v>
      </c>
      <c r="K37" s="483">
        <v>1</v>
      </c>
      <c r="L37" s="241" t="s">
        <v>17</v>
      </c>
      <c r="M37" s="411" t="s">
        <v>943</v>
      </c>
    </row>
    <row r="38" spans="1:13" ht="15.95" customHeight="1">
      <c r="A38" s="85" t="s">
        <v>975</v>
      </c>
      <c r="B38" s="399">
        <v>43139</v>
      </c>
      <c r="C38" s="468" t="s">
        <v>995</v>
      </c>
      <c r="D38" s="486">
        <v>0</v>
      </c>
      <c r="E38" s="86" t="s">
        <v>17</v>
      </c>
      <c r="F38" s="388" t="s">
        <v>777</v>
      </c>
      <c r="G38" s="26"/>
      <c r="H38" s="169" t="s">
        <v>102</v>
      </c>
      <c r="I38" s="387"/>
      <c r="J38" s="461" t="s">
        <v>222</v>
      </c>
      <c r="K38" s="483">
        <v>1</v>
      </c>
      <c r="L38" s="237" t="s">
        <v>17</v>
      </c>
      <c r="M38" s="410" t="s">
        <v>254</v>
      </c>
    </row>
    <row r="39" spans="1:13" ht="15.95" customHeight="1">
      <c r="A39" s="249" t="s">
        <v>518</v>
      </c>
      <c r="B39" s="395">
        <v>43139</v>
      </c>
      <c r="C39" s="466" t="s">
        <v>995</v>
      </c>
      <c r="D39" s="485">
        <v>7</v>
      </c>
      <c r="E39" s="77" t="s">
        <v>17</v>
      </c>
      <c r="F39" s="388"/>
      <c r="G39" s="26"/>
      <c r="H39" s="123" t="s">
        <v>935</v>
      </c>
      <c r="I39" s="395">
        <v>43172</v>
      </c>
      <c r="J39" s="466" t="s">
        <v>1001</v>
      </c>
      <c r="K39" s="485">
        <v>4</v>
      </c>
      <c r="L39" s="77" t="s">
        <v>17</v>
      </c>
      <c r="M39" s="388"/>
    </row>
    <row r="40" spans="1:13" ht="15.95" customHeight="1">
      <c r="A40" s="85" t="s">
        <v>567</v>
      </c>
      <c r="B40" s="399">
        <v>43139</v>
      </c>
      <c r="C40" s="468" t="s">
        <v>995</v>
      </c>
      <c r="D40" s="486">
        <v>0</v>
      </c>
      <c r="E40" s="86" t="s">
        <v>17</v>
      </c>
      <c r="F40" s="388" t="s">
        <v>963</v>
      </c>
      <c r="G40" s="26"/>
      <c r="H40" s="123" t="s">
        <v>935</v>
      </c>
      <c r="I40" s="395">
        <v>43172</v>
      </c>
      <c r="J40" s="466" t="s">
        <v>1001</v>
      </c>
      <c r="K40" s="485">
        <v>18</v>
      </c>
      <c r="L40" s="77" t="s">
        <v>17</v>
      </c>
      <c r="M40" s="388"/>
    </row>
    <row r="41" spans="1:13" ht="15.95" customHeight="1">
      <c r="A41" s="249" t="s">
        <v>858</v>
      </c>
      <c r="B41" s="387">
        <v>43172</v>
      </c>
      <c r="C41" s="461" t="s">
        <v>995</v>
      </c>
      <c r="D41" s="483">
        <v>46</v>
      </c>
      <c r="E41" s="237" t="s">
        <v>17</v>
      </c>
      <c r="F41" s="405"/>
      <c r="G41" s="26"/>
      <c r="H41" s="249" t="s">
        <v>764</v>
      </c>
      <c r="I41" s="395">
        <v>43139</v>
      </c>
      <c r="J41" s="466" t="s">
        <v>1001</v>
      </c>
      <c r="K41" s="485">
        <v>43</v>
      </c>
      <c r="L41" s="77" t="s">
        <v>17</v>
      </c>
      <c r="M41" s="388"/>
    </row>
    <row r="42" spans="1:13" ht="15.95" customHeight="1">
      <c r="A42" s="169" t="s">
        <v>589</v>
      </c>
      <c r="B42" s="389">
        <v>41502</v>
      </c>
      <c r="C42" s="461" t="s">
        <v>85</v>
      </c>
      <c r="D42" s="484">
        <v>3</v>
      </c>
      <c r="E42" s="238" t="s">
        <v>17</v>
      </c>
      <c r="F42" s="406"/>
      <c r="G42" s="26"/>
      <c r="H42" s="169" t="s">
        <v>741</v>
      </c>
      <c r="I42" s="395">
        <v>43168</v>
      </c>
      <c r="J42" s="466" t="s">
        <v>1001</v>
      </c>
      <c r="K42" s="485">
        <v>2.6300000000000008</v>
      </c>
      <c r="L42" s="77" t="s">
        <v>17</v>
      </c>
      <c r="M42" s="388" t="s">
        <v>1153</v>
      </c>
    </row>
    <row r="43" spans="1:13" ht="15.95" customHeight="1">
      <c r="A43" s="15" t="s">
        <v>744</v>
      </c>
      <c r="B43" s="395">
        <v>43172</v>
      </c>
      <c r="C43" s="466" t="s">
        <v>1030</v>
      </c>
      <c r="D43" s="485">
        <v>10</v>
      </c>
      <c r="E43" s="77" t="s">
        <v>17</v>
      </c>
      <c r="F43" s="388"/>
      <c r="G43" s="26"/>
      <c r="H43" s="123" t="s">
        <v>767</v>
      </c>
      <c r="I43" s="395">
        <v>43172</v>
      </c>
      <c r="J43" s="466" t="s">
        <v>1001</v>
      </c>
      <c r="K43" s="485">
        <v>15</v>
      </c>
      <c r="L43" s="77" t="s">
        <v>17</v>
      </c>
      <c r="M43" s="388"/>
    </row>
    <row r="44" spans="1:13" ht="15.95" customHeight="1">
      <c r="A44" s="249" t="s">
        <v>518</v>
      </c>
      <c r="B44" s="387">
        <v>42195</v>
      </c>
      <c r="C44" s="461" t="s">
        <v>345</v>
      </c>
      <c r="D44" s="484">
        <v>2</v>
      </c>
      <c r="E44" s="242" t="s">
        <v>18</v>
      </c>
      <c r="F44" s="405"/>
      <c r="G44" s="26"/>
      <c r="H44" s="249" t="s">
        <v>1072</v>
      </c>
      <c r="I44" s="395">
        <v>43172</v>
      </c>
      <c r="J44" s="466" t="s">
        <v>1001</v>
      </c>
      <c r="K44" s="485">
        <v>108</v>
      </c>
      <c r="L44" s="77" t="s">
        <v>17</v>
      </c>
      <c r="M44" s="388"/>
    </row>
    <row r="45" spans="1:13" ht="15.95" customHeight="1">
      <c r="A45" s="85" t="s">
        <v>859</v>
      </c>
      <c r="B45" s="407">
        <v>42195</v>
      </c>
      <c r="C45" s="469" t="s">
        <v>345</v>
      </c>
      <c r="D45" s="486">
        <v>0</v>
      </c>
      <c r="E45" s="408" t="s">
        <v>18</v>
      </c>
      <c r="F45" s="405"/>
      <c r="G45" s="26"/>
      <c r="H45" s="249" t="s">
        <v>1000</v>
      </c>
      <c r="I45" s="395">
        <v>43109</v>
      </c>
      <c r="J45" s="466" t="s">
        <v>1001</v>
      </c>
      <c r="K45" s="485">
        <v>84</v>
      </c>
      <c r="L45" s="77" t="s">
        <v>17</v>
      </c>
      <c r="M45" s="388"/>
    </row>
    <row r="46" spans="1:13" ht="15.95" customHeight="1">
      <c r="A46" s="249" t="s">
        <v>488</v>
      </c>
      <c r="B46" s="389">
        <v>43122</v>
      </c>
      <c r="C46" s="460" t="s">
        <v>345</v>
      </c>
      <c r="D46" s="484">
        <v>10</v>
      </c>
      <c r="E46" s="238" t="s">
        <v>17</v>
      </c>
      <c r="F46" s="409"/>
      <c r="G46" s="26"/>
      <c r="H46" s="169" t="s">
        <v>372</v>
      </c>
      <c r="I46" s="393">
        <v>42853</v>
      </c>
      <c r="J46" s="460" t="s">
        <v>648</v>
      </c>
      <c r="K46" s="484">
        <v>10</v>
      </c>
      <c r="L46" s="239" t="s">
        <v>17</v>
      </c>
      <c r="M46" s="394"/>
    </row>
    <row r="47" spans="1:13" ht="15.95" customHeight="1">
      <c r="G47" s="26"/>
      <c r="H47" s="169" t="s">
        <v>206</v>
      </c>
      <c r="I47" s="387">
        <v>42088</v>
      </c>
      <c r="J47" s="461" t="s">
        <v>214</v>
      </c>
      <c r="K47" s="483">
        <v>2</v>
      </c>
      <c r="L47" s="237" t="s">
        <v>17</v>
      </c>
      <c r="M47" s="410" t="s">
        <v>238</v>
      </c>
    </row>
    <row r="48" spans="1:13" ht="15.95" customHeight="1">
      <c r="G48" s="26"/>
      <c r="H48" s="169" t="s">
        <v>203</v>
      </c>
      <c r="I48" s="389">
        <v>42479</v>
      </c>
      <c r="J48" s="461" t="s">
        <v>409</v>
      </c>
      <c r="K48" s="483">
        <v>1</v>
      </c>
      <c r="L48" s="238" t="s">
        <v>17</v>
      </c>
      <c r="M48" s="410" t="s">
        <v>551</v>
      </c>
    </row>
    <row r="49" spans="1:13" ht="15.95" customHeight="1">
      <c r="G49" s="26"/>
      <c r="H49" s="123" t="s">
        <v>485</v>
      </c>
      <c r="I49" s="387">
        <v>43172</v>
      </c>
      <c r="J49" s="460" t="s">
        <v>1004</v>
      </c>
      <c r="K49" s="254">
        <v>1</v>
      </c>
      <c r="L49" s="77" t="s">
        <v>17</v>
      </c>
      <c r="M49" s="394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9" t="s">
        <v>1</v>
      </c>
      <c r="B57" s="316" t="s">
        <v>144</v>
      </c>
      <c r="C57" s="245" t="s">
        <v>63</v>
      </c>
      <c r="D57" s="229" t="s">
        <v>112</v>
      </c>
      <c r="E57" s="385"/>
      <c r="F57" s="269" t="s">
        <v>113</v>
      </c>
      <c r="H57" s="229" t="s">
        <v>1</v>
      </c>
      <c r="I57" s="316" t="s">
        <v>144</v>
      </c>
      <c r="J57" s="245" t="s">
        <v>63</v>
      </c>
      <c r="K57" s="229" t="s">
        <v>112</v>
      </c>
      <c r="L57" s="385"/>
      <c r="M57" s="269" t="s">
        <v>113</v>
      </c>
    </row>
    <row r="58" spans="1:13" ht="15.95" customHeight="1">
      <c r="A58" s="51" t="s">
        <v>618</v>
      </c>
      <c r="B58" s="407">
        <v>43172</v>
      </c>
      <c r="C58" s="473" t="s">
        <v>1004</v>
      </c>
      <c r="D58" s="486">
        <v>0</v>
      </c>
      <c r="E58" s="86" t="s">
        <v>17</v>
      </c>
      <c r="F58" s="394"/>
      <c r="G58" s="26"/>
      <c r="H58" s="169" t="s">
        <v>1088</v>
      </c>
      <c r="I58" s="414"/>
      <c r="J58" s="471" t="s">
        <v>1249</v>
      </c>
      <c r="K58" s="483">
        <v>1</v>
      </c>
      <c r="L58" s="241" t="s">
        <v>268</v>
      </c>
      <c r="M58" s="392"/>
    </row>
    <row r="59" spans="1:13" ht="15.95" customHeight="1">
      <c r="A59" s="169" t="s">
        <v>516</v>
      </c>
      <c r="B59" s="387">
        <v>43172</v>
      </c>
      <c r="C59" s="460" t="s">
        <v>1004</v>
      </c>
      <c r="D59" s="485">
        <v>18</v>
      </c>
      <c r="E59" s="77" t="s">
        <v>17</v>
      </c>
      <c r="F59" s="394"/>
      <c r="G59" s="26"/>
      <c r="H59" s="169" t="s">
        <v>579</v>
      </c>
      <c r="I59" s="391">
        <v>43047</v>
      </c>
      <c r="J59" s="461" t="s">
        <v>956</v>
      </c>
      <c r="K59" s="484">
        <v>1</v>
      </c>
      <c r="L59" s="238" t="s">
        <v>268</v>
      </c>
      <c r="M59" s="392"/>
    </row>
    <row r="60" spans="1:13" ht="15.95" customHeight="1">
      <c r="A60" s="169" t="s">
        <v>1014</v>
      </c>
      <c r="B60" s="387">
        <v>43172</v>
      </c>
      <c r="C60" s="467" t="s">
        <v>1004</v>
      </c>
      <c r="D60" s="485">
        <v>23</v>
      </c>
      <c r="E60" s="77" t="s">
        <v>17</v>
      </c>
      <c r="F60" s="394"/>
      <c r="G60" s="26"/>
      <c r="H60" s="169" t="s">
        <v>474</v>
      </c>
      <c r="I60" s="391">
        <v>43047</v>
      </c>
      <c r="J60" s="460" t="s">
        <v>988</v>
      </c>
      <c r="K60" s="484">
        <v>1</v>
      </c>
      <c r="L60" s="238" t="s">
        <v>268</v>
      </c>
      <c r="M60" s="392"/>
    </row>
    <row r="61" spans="1:13" ht="15.95" customHeight="1">
      <c r="A61" s="249" t="s">
        <v>1073</v>
      </c>
      <c r="B61" s="395">
        <v>43172</v>
      </c>
      <c r="C61" s="467" t="s">
        <v>1004</v>
      </c>
      <c r="D61" s="485">
        <v>108</v>
      </c>
      <c r="E61" s="77" t="s">
        <v>17</v>
      </c>
      <c r="F61" s="388"/>
      <c r="G61" s="26"/>
      <c r="H61" s="169" t="s">
        <v>801</v>
      </c>
      <c r="I61" s="391"/>
      <c r="J61" s="460" t="s">
        <v>979</v>
      </c>
      <c r="K61" s="484">
        <v>1</v>
      </c>
      <c r="L61" s="238" t="s">
        <v>268</v>
      </c>
      <c r="M61" s="392"/>
    </row>
    <row r="62" spans="1:13" ht="15.95" customHeight="1">
      <c r="A62" s="169" t="s">
        <v>203</v>
      </c>
      <c r="B62" s="387">
        <v>42048</v>
      </c>
      <c r="C62" s="461" t="s">
        <v>202</v>
      </c>
      <c r="D62" s="483">
        <v>1</v>
      </c>
      <c r="E62" s="237" t="s">
        <v>18</v>
      </c>
      <c r="F62" s="410" t="s">
        <v>238</v>
      </c>
      <c r="G62" s="26"/>
      <c r="H62" s="169" t="s">
        <v>632</v>
      </c>
      <c r="I62" s="391"/>
      <c r="J62" s="460" t="s">
        <v>983</v>
      </c>
      <c r="K62" s="484">
        <v>1</v>
      </c>
      <c r="L62" s="238" t="s">
        <v>268</v>
      </c>
      <c r="M62" s="392"/>
    </row>
    <row r="63" spans="1:13" ht="15.95" customHeight="1">
      <c r="A63" s="123" t="s">
        <v>142</v>
      </c>
      <c r="B63" s="414">
        <v>42923</v>
      </c>
      <c r="C63" s="460" t="s">
        <v>727</v>
      </c>
      <c r="D63" s="483">
        <v>3</v>
      </c>
      <c r="E63" s="241" t="s">
        <v>17</v>
      </c>
      <c r="F63" s="415"/>
      <c r="G63" s="26"/>
      <c r="H63" s="169" t="s">
        <v>498</v>
      </c>
      <c r="I63" s="391">
        <v>43047</v>
      </c>
      <c r="J63" s="460" t="s">
        <v>957</v>
      </c>
      <c r="K63" s="484">
        <v>1</v>
      </c>
      <c r="L63" s="238" t="s">
        <v>268</v>
      </c>
      <c r="M63" s="392"/>
    </row>
    <row r="64" spans="1:13" ht="15.95" customHeight="1">
      <c r="A64" s="123" t="s">
        <v>142</v>
      </c>
      <c r="B64" s="414">
        <v>42923</v>
      </c>
      <c r="C64" s="460" t="s">
        <v>730</v>
      </c>
      <c r="D64" s="483">
        <v>1.5</v>
      </c>
      <c r="E64" s="241" t="s">
        <v>17</v>
      </c>
      <c r="F64" s="415" t="s">
        <v>1256</v>
      </c>
      <c r="G64" s="26"/>
      <c r="H64" s="169" t="s">
        <v>255</v>
      </c>
      <c r="I64" s="387">
        <v>43047</v>
      </c>
      <c r="J64" s="460" t="s">
        <v>958</v>
      </c>
      <c r="K64" s="485">
        <v>1</v>
      </c>
      <c r="L64" s="77" t="s">
        <v>268</v>
      </c>
      <c r="M64" s="394"/>
    </row>
    <row r="65" spans="1:13" ht="15.95" customHeight="1">
      <c r="A65" s="249" t="s">
        <v>1268</v>
      </c>
      <c r="B65" s="395">
        <v>43216</v>
      </c>
      <c r="C65" s="461" t="s">
        <v>364</v>
      </c>
      <c r="D65" s="485">
        <v>100</v>
      </c>
      <c r="E65" s="77" t="s">
        <v>17</v>
      </c>
      <c r="F65" s="388"/>
      <c r="G65" s="26"/>
      <c r="H65" s="169" t="s">
        <v>819</v>
      </c>
      <c r="I65" s="391"/>
      <c r="J65" s="460" t="s">
        <v>986</v>
      </c>
      <c r="K65" s="484">
        <v>1</v>
      </c>
      <c r="L65" s="238" t="s">
        <v>268</v>
      </c>
      <c r="M65" s="392"/>
    </row>
    <row r="66" spans="1:13" ht="15.95" customHeight="1">
      <c r="A66" s="249" t="s">
        <v>1269</v>
      </c>
      <c r="B66" s="395">
        <v>43216</v>
      </c>
      <c r="C66" s="461" t="s">
        <v>364</v>
      </c>
      <c r="D66" s="485">
        <v>100</v>
      </c>
      <c r="E66" s="77" t="s">
        <v>17</v>
      </c>
      <c r="F66" s="388"/>
      <c r="G66" s="26"/>
      <c r="H66" s="249" t="s">
        <v>900</v>
      </c>
      <c r="I66" s="391">
        <v>43047</v>
      </c>
      <c r="J66" s="461" t="s">
        <v>959</v>
      </c>
      <c r="K66" s="484">
        <v>1</v>
      </c>
      <c r="L66" s="238" t="s">
        <v>268</v>
      </c>
      <c r="M66" s="392"/>
    </row>
    <row r="67" spans="1:13" ht="15.95" customHeight="1">
      <c r="A67" s="249" t="s">
        <v>1005</v>
      </c>
      <c r="B67" s="387">
        <v>43117</v>
      </c>
      <c r="C67" s="461" t="s">
        <v>364</v>
      </c>
      <c r="D67" s="483">
        <v>10</v>
      </c>
      <c r="E67" s="237" t="s">
        <v>17</v>
      </c>
      <c r="F67" s="405"/>
      <c r="G67" s="26"/>
      <c r="H67" s="169" t="s">
        <v>404</v>
      </c>
      <c r="I67" s="391">
        <v>43047</v>
      </c>
      <c r="J67" s="460" t="s">
        <v>960</v>
      </c>
      <c r="K67" s="484">
        <v>1</v>
      </c>
      <c r="L67" s="238" t="s">
        <v>268</v>
      </c>
      <c r="M67" s="392"/>
    </row>
    <row r="68" spans="1:13" ht="15.95" customHeight="1">
      <c r="A68" s="169" t="s">
        <v>495</v>
      </c>
      <c r="B68" s="393">
        <v>43053</v>
      </c>
      <c r="C68" s="460" t="s">
        <v>880</v>
      </c>
      <c r="D68" s="484">
        <v>4</v>
      </c>
      <c r="E68" s="239" t="s">
        <v>17</v>
      </c>
      <c r="F68" s="396"/>
      <c r="G68" s="26"/>
      <c r="H68" s="169" t="s">
        <v>647</v>
      </c>
      <c r="I68" s="391"/>
      <c r="J68" s="461" t="s">
        <v>1090</v>
      </c>
      <c r="K68" s="484">
        <v>1</v>
      </c>
      <c r="L68" s="238" t="s">
        <v>268</v>
      </c>
      <c r="M68" s="392"/>
    </row>
    <row r="69" spans="1:13" ht="15.95" customHeight="1">
      <c r="A69" s="169" t="s">
        <v>516</v>
      </c>
      <c r="B69" s="387">
        <v>43053</v>
      </c>
      <c r="C69" s="460" t="s">
        <v>880</v>
      </c>
      <c r="D69" s="485">
        <v>3</v>
      </c>
      <c r="E69" s="77" t="s">
        <v>17</v>
      </c>
      <c r="F69" s="394"/>
      <c r="G69" s="26"/>
      <c r="H69" s="169" t="s">
        <v>1016</v>
      </c>
      <c r="I69" s="391">
        <v>43047</v>
      </c>
      <c r="J69" s="461" t="s">
        <v>961</v>
      </c>
      <c r="K69" s="484">
        <v>1</v>
      </c>
      <c r="L69" s="238" t="s">
        <v>268</v>
      </c>
      <c r="M69" s="392"/>
    </row>
    <row r="70" spans="1:13" ht="15.95" customHeight="1">
      <c r="A70" s="169" t="s">
        <v>589</v>
      </c>
      <c r="B70" s="387">
        <v>41291</v>
      </c>
      <c r="C70" s="461" t="s">
        <v>494</v>
      </c>
      <c r="D70" s="483">
        <v>5</v>
      </c>
      <c r="E70" s="237" t="s">
        <v>17</v>
      </c>
      <c r="F70" s="418"/>
      <c r="G70" s="26"/>
      <c r="H70" s="249" t="s">
        <v>550</v>
      </c>
      <c r="I70" s="391">
        <v>43047</v>
      </c>
      <c r="J70" s="461" t="s">
        <v>1283</v>
      </c>
      <c r="K70" s="484">
        <v>1</v>
      </c>
      <c r="L70" s="238" t="s">
        <v>268</v>
      </c>
      <c r="M70" s="392"/>
    </row>
    <row r="71" spans="1:13" ht="15.95" customHeight="1">
      <c r="A71" s="169" t="s">
        <v>490</v>
      </c>
      <c r="B71" s="391"/>
      <c r="C71" s="460" t="s">
        <v>1238</v>
      </c>
      <c r="D71" s="484">
        <v>1</v>
      </c>
      <c r="E71" s="238" t="s">
        <v>268</v>
      </c>
      <c r="F71" s="406"/>
      <c r="G71" s="26"/>
      <c r="H71" s="169" t="s">
        <v>504</v>
      </c>
      <c r="I71" s="391"/>
      <c r="J71" s="461" t="s">
        <v>1229</v>
      </c>
      <c r="K71" s="484">
        <v>1</v>
      </c>
      <c r="L71" s="238" t="s">
        <v>268</v>
      </c>
      <c r="M71" s="406"/>
    </row>
    <row r="72" spans="1:13" ht="15.95" customHeight="1">
      <c r="A72" s="169" t="s">
        <v>457</v>
      </c>
      <c r="B72" s="391"/>
      <c r="C72" s="461" t="s">
        <v>1225</v>
      </c>
      <c r="D72" s="484">
        <v>1</v>
      </c>
      <c r="E72" s="238" t="s">
        <v>268</v>
      </c>
      <c r="F72" s="390"/>
      <c r="G72" s="26"/>
      <c r="H72" s="169" t="s">
        <v>352</v>
      </c>
      <c r="I72" s="391"/>
      <c r="J72" s="461" t="s">
        <v>1230</v>
      </c>
      <c r="K72" s="484">
        <v>1</v>
      </c>
      <c r="L72" s="238" t="s">
        <v>268</v>
      </c>
      <c r="M72" s="390"/>
    </row>
    <row r="73" spans="1:13" ht="15.95" customHeight="1">
      <c r="A73" s="169" t="s">
        <v>492</v>
      </c>
      <c r="B73" s="391"/>
      <c r="C73" s="460" t="s">
        <v>1242</v>
      </c>
      <c r="D73" s="484">
        <v>1</v>
      </c>
      <c r="E73" s="238" t="s">
        <v>268</v>
      </c>
      <c r="F73" s="390"/>
      <c r="G73" s="26"/>
      <c r="H73" s="249" t="s">
        <v>990</v>
      </c>
      <c r="I73" s="395">
        <v>43160</v>
      </c>
      <c r="J73" s="466" t="s">
        <v>1078</v>
      </c>
      <c r="K73" s="485">
        <v>1</v>
      </c>
      <c r="L73" s="77" t="s">
        <v>17</v>
      </c>
      <c r="M73" s="388"/>
    </row>
    <row r="74" spans="1:13" ht="15.95" customHeight="1">
      <c r="A74" s="169" t="s">
        <v>478</v>
      </c>
      <c r="B74" s="391"/>
      <c r="C74" s="461" t="s">
        <v>1227</v>
      </c>
      <c r="D74" s="484">
        <v>1</v>
      </c>
      <c r="E74" s="238" t="s">
        <v>268</v>
      </c>
      <c r="F74" s="390"/>
      <c r="G74" s="26"/>
      <c r="H74" s="169" t="s">
        <v>75</v>
      </c>
      <c r="I74" s="391"/>
      <c r="J74" s="460" t="s">
        <v>1247</v>
      </c>
      <c r="K74" s="484">
        <v>1</v>
      </c>
      <c r="L74" s="238" t="s">
        <v>268</v>
      </c>
      <c r="M74" s="390"/>
    </row>
    <row r="75" spans="1:13" ht="15.95" customHeight="1">
      <c r="A75" s="169" t="s">
        <v>491</v>
      </c>
      <c r="B75" s="391"/>
      <c r="C75" s="460" t="s">
        <v>1236</v>
      </c>
      <c r="D75" s="484">
        <v>1</v>
      </c>
      <c r="E75" s="238" t="s">
        <v>268</v>
      </c>
      <c r="F75" s="390"/>
      <c r="G75" s="26"/>
      <c r="H75" s="169" t="s">
        <v>196</v>
      </c>
      <c r="I75" s="391"/>
      <c r="J75" s="460" t="s">
        <v>1244</v>
      </c>
      <c r="K75" s="484">
        <v>1</v>
      </c>
      <c r="L75" s="238" t="s">
        <v>268</v>
      </c>
      <c r="M75" s="390"/>
    </row>
    <row r="76" spans="1:13" ht="15.95" customHeight="1">
      <c r="A76" s="169" t="s">
        <v>698</v>
      </c>
      <c r="B76" s="391"/>
      <c r="C76" s="460" t="s">
        <v>1245</v>
      </c>
      <c r="D76" s="484">
        <v>1</v>
      </c>
      <c r="E76" s="238" t="s">
        <v>268</v>
      </c>
      <c r="F76" s="390"/>
      <c r="G76" s="26"/>
      <c r="H76" s="169" t="s">
        <v>74</v>
      </c>
      <c r="I76" s="391"/>
      <c r="J76" s="460" t="s">
        <v>1248</v>
      </c>
      <c r="K76" s="484">
        <v>1</v>
      </c>
      <c r="L76" s="238" t="s">
        <v>268</v>
      </c>
      <c r="M76" s="390"/>
    </row>
    <row r="77" spans="1:13" ht="15.95" customHeight="1">
      <c r="A77" s="169" t="s">
        <v>211</v>
      </c>
      <c r="B77" s="391"/>
      <c r="C77" s="461" t="s">
        <v>1231</v>
      </c>
      <c r="D77" s="484">
        <v>1</v>
      </c>
      <c r="E77" s="238" t="s">
        <v>268</v>
      </c>
      <c r="F77" s="390"/>
      <c r="G77" s="26"/>
      <c r="H77" s="249" t="s">
        <v>580</v>
      </c>
      <c r="I77" s="387"/>
      <c r="J77" s="461" t="s">
        <v>1218</v>
      </c>
      <c r="K77" s="483">
        <v>1</v>
      </c>
      <c r="L77" s="237" t="s">
        <v>268</v>
      </c>
      <c r="M77" s="405"/>
    </row>
    <row r="78" spans="1:13" ht="15.95" customHeight="1">
      <c r="A78" s="169" t="s">
        <v>579</v>
      </c>
      <c r="B78" s="391"/>
      <c r="C78" s="461" t="s">
        <v>1232</v>
      </c>
      <c r="D78" s="484">
        <v>1</v>
      </c>
      <c r="E78" s="238" t="s">
        <v>268</v>
      </c>
      <c r="F78" s="390"/>
      <c r="G78" s="26"/>
      <c r="H78" s="169" t="s">
        <v>47</v>
      </c>
      <c r="I78" s="391"/>
      <c r="J78" s="460" t="s">
        <v>1246</v>
      </c>
      <c r="K78" s="484">
        <v>1</v>
      </c>
      <c r="L78" s="238" t="s">
        <v>268</v>
      </c>
      <c r="M78" s="390"/>
    </row>
    <row r="79" spans="1:13" ht="15.95" customHeight="1">
      <c r="A79" s="169" t="s">
        <v>505</v>
      </c>
      <c r="B79" s="391"/>
      <c r="C79" s="460" t="s">
        <v>1235</v>
      </c>
      <c r="D79" s="484">
        <v>1</v>
      </c>
      <c r="E79" s="238" t="s">
        <v>268</v>
      </c>
      <c r="F79" s="390"/>
      <c r="G79" s="26"/>
      <c r="H79" s="169" t="s">
        <v>452</v>
      </c>
      <c r="I79" s="391"/>
      <c r="J79" s="461" t="s">
        <v>1222</v>
      </c>
      <c r="K79" s="484">
        <v>1</v>
      </c>
      <c r="L79" s="238" t="s">
        <v>268</v>
      </c>
      <c r="M79" s="390" t="s">
        <v>755</v>
      </c>
    </row>
    <row r="80" spans="1:13" ht="15.95" customHeight="1">
      <c r="A80" s="169" t="s">
        <v>53</v>
      </c>
      <c r="B80" s="391"/>
      <c r="C80" s="460" t="s">
        <v>1240</v>
      </c>
      <c r="D80" s="484">
        <v>1</v>
      </c>
      <c r="E80" s="238" t="s">
        <v>268</v>
      </c>
      <c r="F80" s="390"/>
      <c r="G80" s="26"/>
      <c r="H80" s="169" t="s">
        <v>533</v>
      </c>
      <c r="I80" s="391"/>
      <c r="J80" s="460" t="s">
        <v>1241</v>
      </c>
      <c r="K80" s="484">
        <v>1</v>
      </c>
      <c r="L80" s="238" t="s">
        <v>268</v>
      </c>
      <c r="M80" s="390"/>
    </row>
    <row r="81" spans="1:13" ht="15.95" customHeight="1">
      <c r="A81" s="169" t="s">
        <v>451</v>
      </c>
      <c r="B81" s="391"/>
      <c r="C81" s="461" t="s">
        <v>1228</v>
      </c>
      <c r="D81" s="484">
        <v>1</v>
      </c>
      <c r="E81" s="238" t="s">
        <v>268</v>
      </c>
      <c r="F81" s="390" t="s">
        <v>757</v>
      </c>
      <c r="G81" s="26"/>
      <c r="H81" s="169" t="s">
        <v>335</v>
      </c>
      <c r="I81" s="391"/>
      <c r="J81" s="461" t="s">
        <v>1233</v>
      </c>
      <c r="K81" s="484">
        <v>1</v>
      </c>
      <c r="L81" s="238" t="s">
        <v>268</v>
      </c>
      <c r="M81" s="390"/>
    </row>
    <row r="82" spans="1:13" ht="15.95" customHeight="1">
      <c r="A82" s="169" t="s">
        <v>478</v>
      </c>
      <c r="B82" s="414"/>
      <c r="C82" s="471" t="s">
        <v>1226</v>
      </c>
      <c r="D82" s="483">
        <v>1</v>
      </c>
      <c r="E82" s="241" t="s">
        <v>268</v>
      </c>
      <c r="F82" s="392"/>
      <c r="G82" s="26"/>
      <c r="H82" s="169" t="s">
        <v>552</v>
      </c>
      <c r="I82" s="387">
        <v>42698</v>
      </c>
      <c r="J82" s="461" t="s">
        <v>513</v>
      </c>
      <c r="K82" s="483">
        <v>1</v>
      </c>
      <c r="L82" s="237" t="s">
        <v>17</v>
      </c>
      <c r="M82" s="410" t="s">
        <v>553</v>
      </c>
    </row>
    <row r="83" spans="1:13" ht="15.95" customHeight="1">
      <c r="A83" s="169" t="s">
        <v>497</v>
      </c>
      <c r="B83" s="391"/>
      <c r="C83" s="461" t="s">
        <v>1220</v>
      </c>
      <c r="D83" s="484">
        <v>1</v>
      </c>
      <c r="E83" s="238" t="s">
        <v>268</v>
      </c>
      <c r="F83" s="390"/>
      <c r="G83" s="26"/>
      <c r="H83" s="169" t="s">
        <v>842</v>
      </c>
      <c r="I83" s="395">
        <v>43124</v>
      </c>
      <c r="J83" s="466" t="s">
        <v>368</v>
      </c>
      <c r="K83" s="485">
        <v>13</v>
      </c>
      <c r="L83" s="77" t="s">
        <v>1022</v>
      </c>
      <c r="M83" s="394"/>
    </row>
    <row r="84" spans="1:13" ht="15.95" customHeight="1">
      <c r="A84" s="123" t="s">
        <v>89</v>
      </c>
      <c r="B84" s="395"/>
      <c r="C84" s="460" t="s">
        <v>1239</v>
      </c>
      <c r="D84" s="485">
        <v>1</v>
      </c>
      <c r="E84" s="77" t="s">
        <v>268</v>
      </c>
      <c r="F84" s="394" t="s">
        <v>762</v>
      </c>
      <c r="G84" s="26"/>
      <c r="H84" s="169" t="s">
        <v>548</v>
      </c>
      <c r="I84" s="414">
        <v>42698</v>
      </c>
      <c r="J84" s="471" t="s">
        <v>368</v>
      </c>
      <c r="K84" s="483">
        <v>4</v>
      </c>
      <c r="L84" s="241" t="s">
        <v>14</v>
      </c>
      <c r="M84" s="400" t="s">
        <v>696</v>
      </c>
    </row>
    <row r="85" spans="1:13" ht="15.95" customHeight="1">
      <c r="A85" s="169" t="s">
        <v>760</v>
      </c>
      <c r="B85" s="391"/>
      <c r="C85" s="461" t="s">
        <v>1224</v>
      </c>
      <c r="D85" s="484">
        <v>1</v>
      </c>
      <c r="E85" s="238" t="s">
        <v>268</v>
      </c>
      <c r="F85" s="390"/>
      <c r="G85" s="26"/>
      <c r="H85" s="123" t="s">
        <v>877</v>
      </c>
      <c r="I85" s="393">
        <v>42977</v>
      </c>
      <c r="J85" s="460" t="s">
        <v>56</v>
      </c>
      <c r="K85" s="484">
        <v>17</v>
      </c>
      <c r="L85" s="239" t="s">
        <v>17</v>
      </c>
      <c r="M85" s="396"/>
    </row>
    <row r="86" spans="1:13" ht="15.95" customHeight="1">
      <c r="A86" s="123" t="s">
        <v>954</v>
      </c>
      <c r="B86" s="391"/>
      <c r="C86" s="461" t="s">
        <v>1216</v>
      </c>
      <c r="D86" s="484">
        <v>1</v>
      </c>
      <c r="E86" s="238" t="s">
        <v>268</v>
      </c>
      <c r="F86" s="390"/>
      <c r="G86" s="26"/>
      <c r="H86" s="123" t="s">
        <v>507</v>
      </c>
      <c r="I86" s="393">
        <v>42782</v>
      </c>
      <c r="J86" s="460" t="s">
        <v>56</v>
      </c>
      <c r="K86" s="484">
        <v>0.75</v>
      </c>
      <c r="L86" s="239" t="s">
        <v>17</v>
      </c>
      <c r="M86" s="415" t="s">
        <v>882</v>
      </c>
    </row>
    <row r="87" spans="1:13" ht="15.95" customHeight="1">
      <c r="A87" s="249" t="s">
        <v>900</v>
      </c>
      <c r="B87" s="391"/>
      <c r="C87" s="461" t="s">
        <v>1221</v>
      </c>
      <c r="D87" s="484">
        <v>1</v>
      </c>
      <c r="E87" s="238" t="s">
        <v>268</v>
      </c>
      <c r="F87" s="390"/>
      <c r="G87" s="26"/>
      <c r="H87" s="169" t="s">
        <v>155</v>
      </c>
      <c r="I87" s="389">
        <v>42095</v>
      </c>
      <c r="J87" s="461" t="s">
        <v>56</v>
      </c>
      <c r="K87" s="484">
        <v>1</v>
      </c>
      <c r="L87" s="238" t="s">
        <v>17</v>
      </c>
      <c r="M87" s="410" t="s">
        <v>843</v>
      </c>
    </row>
    <row r="88" spans="1:13" ht="15.95" customHeight="1">
      <c r="A88" s="169" t="s">
        <v>473</v>
      </c>
      <c r="B88" s="391"/>
      <c r="C88" s="460" t="s">
        <v>1243</v>
      </c>
      <c r="D88" s="484">
        <v>1</v>
      </c>
      <c r="E88" s="238" t="s">
        <v>268</v>
      </c>
      <c r="F88" s="390" t="s">
        <v>759</v>
      </c>
      <c r="G88" s="26"/>
      <c r="H88" s="249" t="s">
        <v>990</v>
      </c>
      <c r="I88" s="395"/>
      <c r="J88" s="466" t="s">
        <v>299</v>
      </c>
      <c r="K88" s="485">
        <v>1.9500000000000002</v>
      </c>
      <c r="L88" s="243" t="s">
        <v>1160</v>
      </c>
      <c r="M88" s="388"/>
    </row>
    <row r="89" spans="1:13" ht="15.95" customHeight="1">
      <c r="A89" s="169" t="s">
        <v>724</v>
      </c>
      <c r="B89" s="393"/>
      <c r="C89" s="471" t="s">
        <v>1217</v>
      </c>
      <c r="D89" s="483">
        <v>1</v>
      </c>
      <c r="E89" s="242" t="s">
        <v>268</v>
      </c>
      <c r="F89" s="394"/>
      <c r="G89" s="26"/>
      <c r="H89" s="123" t="s">
        <v>517</v>
      </c>
      <c r="I89" s="395">
        <v>43178</v>
      </c>
      <c r="J89" s="466" t="s">
        <v>531</v>
      </c>
      <c r="K89" s="485">
        <v>25</v>
      </c>
      <c r="L89" s="77" t="s">
        <v>17</v>
      </c>
      <c r="M89" s="394" t="s">
        <v>777</v>
      </c>
    </row>
    <row r="90" spans="1:13" ht="15.95" customHeight="1">
      <c r="A90" s="169" t="s">
        <v>641</v>
      </c>
      <c r="B90" s="391"/>
      <c r="C90" s="461" t="s">
        <v>1219</v>
      </c>
      <c r="D90" s="484">
        <v>1</v>
      </c>
      <c r="E90" s="238" t="s">
        <v>268</v>
      </c>
      <c r="F90" s="390"/>
      <c r="G90" s="26"/>
      <c r="H90" s="169" t="s">
        <v>744</v>
      </c>
      <c r="I90" s="393">
        <v>43005</v>
      </c>
      <c r="J90" s="460" t="s">
        <v>848</v>
      </c>
      <c r="K90" s="484">
        <v>2</v>
      </c>
      <c r="L90" s="239" t="s">
        <v>17</v>
      </c>
      <c r="M90" s="396"/>
    </row>
    <row r="91" spans="1:13" ht="15.95" customHeight="1">
      <c r="A91" s="169" t="s">
        <v>490</v>
      </c>
      <c r="B91" s="391"/>
      <c r="C91" s="460" t="s">
        <v>1237</v>
      </c>
      <c r="D91" s="484">
        <v>1</v>
      </c>
      <c r="E91" s="238" t="s">
        <v>268</v>
      </c>
      <c r="F91" s="390" t="s">
        <v>754</v>
      </c>
      <c r="G91" s="26"/>
      <c r="H91" s="249" t="s">
        <v>495</v>
      </c>
      <c r="I91" s="387">
        <v>42958</v>
      </c>
      <c r="J91" s="461" t="s">
        <v>482</v>
      </c>
      <c r="K91" s="483">
        <v>0.59999999999999987</v>
      </c>
      <c r="L91" s="237" t="s">
        <v>17</v>
      </c>
      <c r="M91" s="405" t="s">
        <v>1026</v>
      </c>
    </row>
    <row r="92" spans="1:13" ht="15.95" customHeight="1">
      <c r="A92" s="169" t="s">
        <v>653</v>
      </c>
      <c r="B92" s="391"/>
      <c r="C92" s="461" t="s">
        <v>1223</v>
      </c>
      <c r="D92" s="484">
        <v>1</v>
      </c>
      <c r="E92" s="238" t="s">
        <v>268</v>
      </c>
      <c r="F92" s="390" t="s">
        <v>756</v>
      </c>
      <c r="G92" s="26"/>
      <c r="H92" s="169" t="s">
        <v>379</v>
      </c>
      <c r="I92" s="414">
        <v>42702</v>
      </c>
      <c r="J92" s="472" t="s">
        <v>482</v>
      </c>
      <c r="K92" s="483">
        <v>1</v>
      </c>
      <c r="L92" s="241" t="s">
        <v>1134</v>
      </c>
      <c r="M92" s="415" t="s">
        <v>670</v>
      </c>
    </row>
    <row r="93" spans="1:13" ht="15.95" customHeight="1">
      <c r="A93" s="169" t="s">
        <v>484</v>
      </c>
      <c r="B93" s="391"/>
      <c r="C93" s="460" t="s">
        <v>1234</v>
      </c>
      <c r="D93" s="484">
        <v>1</v>
      </c>
      <c r="E93" s="238" t="s">
        <v>268</v>
      </c>
      <c r="F93" s="390" t="s">
        <v>758</v>
      </c>
      <c r="G93" s="26"/>
      <c r="H93" s="169" t="s">
        <v>379</v>
      </c>
      <c r="I93" s="414">
        <v>42702</v>
      </c>
      <c r="J93" s="472" t="s">
        <v>482</v>
      </c>
      <c r="K93" s="483">
        <v>6</v>
      </c>
      <c r="L93" s="241" t="s">
        <v>1134</v>
      </c>
      <c r="M93" s="400" t="s">
        <v>695</v>
      </c>
    </row>
    <row r="94" spans="1:13" ht="15.95" customHeight="1">
      <c r="A94" s="15" t="s">
        <v>749</v>
      </c>
      <c r="B94" s="391">
        <v>43047</v>
      </c>
      <c r="C94" s="460" t="s">
        <v>955</v>
      </c>
      <c r="D94" s="484">
        <v>1</v>
      </c>
      <c r="E94" s="238" t="s">
        <v>268</v>
      </c>
      <c r="F94" s="392"/>
      <c r="G94" s="26"/>
      <c r="H94" s="169" t="s">
        <v>607</v>
      </c>
      <c r="I94" s="414"/>
      <c r="J94" s="472" t="s">
        <v>616</v>
      </c>
      <c r="K94" s="483">
        <v>1</v>
      </c>
      <c r="L94" s="241" t="s">
        <v>17</v>
      </c>
      <c r="M94" s="411" t="s">
        <v>943</v>
      </c>
    </row>
    <row r="95" spans="1:13" ht="15.95" customHeight="1">
      <c r="A95" s="15" t="s">
        <v>427</v>
      </c>
      <c r="B95" s="419"/>
      <c r="C95" s="462" t="s">
        <v>980</v>
      </c>
      <c r="D95" s="485">
        <v>1</v>
      </c>
      <c r="E95" s="253" t="s">
        <v>268</v>
      </c>
      <c r="F95" s="394"/>
      <c r="G95" s="26"/>
      <c r="H95" s="15" t="s">
        <v>808</v>
      </c>
      <c r="I95" s="395">
        <v>42920</v>
      </c>
      <c r="J95" s="466" t="s">
        <v>163</v>
      </c>
      <c r="K95" s="485">
        <v>20</v>
      </c>
      <c r="L95" s="77" t="s">
        <v>17</v>
      </c>
      <c r="M95" s="394"/>
    </row>
    <row r="96" spans="1:13" ht="15.95" customHeight="1">
      <c r="A96" s="169" t="s">
        <v>855</v>
      </c>
      <c r="B96" s="391"/>
      <c r="C96" s="460" t="s">
        <v>1089</v>
      </c>
      <c r="D96" s="484">
        <v>1</v>
      </c>
      <c r="E96" s="238" t="s">
        <v>268</v>
      </c>
      <c r="F96" s="392"/>
      <c r="G96" s="26"/>
      <c r="H96" s="169" t="s">
        <v>70</v>
      </c>
      <c r="I96" s="389">
        <v>41953</v>
      </c>
      <c r="J96" s="461" t="s">
        <v>163</v>
      </c>
      <c r="K96" s="484">
        <v>1</v>
      </c>
      <c r="L96" s="238" t="s">
        <v>164</v>
      </c>
      <c r="M96" s="398" t="s">
        <v>425</v>
      </c>
    </row>
    <row r="97" spans="1:13" ht="15.95" customHeight="1">
      <c r="A97" s="123" t="s">
        <v>552</v>
      </c>
      <c r="B97" s="391"/>
      <c r="C97" s="461" t="s">
        <v>989</v>
      </c>
      <c r="D97" s="484">
        <v>1</v>
      </c>
      <c r="E97" s="238" t="s">
        <v>268</v>
      </c>
      <c r="F97" s="392"/>
      <c r="G97" s="26"/>
      <c r="H97" s="249" t="s">
        <v>453</v>
      </c>
      <c r="I97" s="387">
        <v>43209</v>
      </c>
      <c r="J97" s="461" t="s">
        <v>1259</v>
      </c>
      <c r="K97" s="484">
        <v>6</v>
      </c>
      <c r="L97" s="239" t="s">
        <v>17</v>
      </c>
      <c r="M97" s="406"/>
    </row>
    <row r="98" spans="1:13" ht="15.95" customHeight="1">
      <c r="A98" s="169" t="s">
        <v>479</v>
      </c>
      <c r="B98" s="391"/>
      <c r="C98" s="460" t="s">
        <v>982</v>
      </c>
      <c r="D98" s="484">
        <v>1</v>
      </c>
      <c r="E98" s="238" t="s">
        <v>268</v>
      </c>
      <c r="F98" s="392"/>
      <c r="G98" s="26"/>
      <c r="H98" s="51" t="s">
        <v>742</v>
      </c>
      <c r="I98" s="407">
        <v>43209</v>
      </c>
      <c r="J98" s="469" t="s">
        <v>1259</v>
      </c>
      <c r="K98" s="486">
        <v>0</v>
      </c>
      <c r="L98" s="86" t="s">
        <v>17</v>
      </c>
      <c r="M98" s="406"/>
    </row>
    <row r="99" spans="1:13" ht="15.95" customHeight="1">
      <c r="A99" s="169" t="s">
        <v>633</v>
      </c>
      <c r="B99" s="391"/>
      <c r="C99" s="460" t="s">
        <v>981</v>
      </c>
      <c r="D99" s="484">
        <v>1</v>
      </c>
      <c r="E99" s="238" t="s">
        <v>268</v>
      </c>
      <c r="F99" s="392"/>
      <c r="G99" s="26"/>
      <c r="H99" s="123" t="s">
        <v>470</v>
      </c>
      <c r="I99" s="395">
        <v>42977</v>
      </c>
      <c r="J99" s="466" t="s">
        <v>800</v>
      </c>
      <c r="K99" s="485">
        <v>4</v>
      </c>
      <c r="L99" s="77" t="s">
        <v>17</v>
      </c>
      <c r="M99" s="394"/>
    </row>
    <row r="100" spans="1:13" ht="15.95" customHeight="1">
      <c r="A100" s="169" t="s">
        <v>633</v>
      </c>
      <c r="B100" s="391"/>
      <c r="C100" s="460" t="s">
        <v>981</v>
      </c>
      <c r="D100" s="484">
        <v>1</v>
      </c>
      <c r="E100" s="238" t="s">
        <v>268</v>
      </c>
      <c r="F100" s="392"/>
      <c r="G100" s="26"/>
      <c r="H100" s="249" t="s">
        <v>834</v>
      </c>
      <c r="I100" s="395">
        <v>43207</v>
      </c>
      <c r="J100" s="375" t="s">
        <v>542</v>
      </c>
      <c r="K100" s="485">
        <v>28</v>
      </c>
      <c r="L100" s="77" t="s">
        <v>14</v>
      </c>
      <c r="M100" s="388"/>
    </row>
    <row r="101" spans="1:13" ht="15.95" customHeight="1">
      <c r="A101" s="15" t="s">
        <v>116</v>
      </c>
      <c r="B101" s="391">
        <v>43047</v>
      </c>
      <c r="C101" s="460" t="s">
        <v>985</v>
      </c>
      <c r="D101" s="484">
        <v>1</v>
      </c>
      <c r="E101" s="238" t="s">
        <v>268</v>
      </c>
      <c r="F101" s="392"/>
      <c r="G101" s="26"/>
      <c r="H101" s="169" t="s">
        <v>836</v>
      </c>
      <c r="I101" s="387">
        <v>43068</v>
      </c>
      <c r="J101" s="460" t="s">
        <v>936</v>
      </c>
      <c r="K101" s="485">
        <v>1</v>
      </c>
      <c r="L101" s="77" t="s">
        <v>14</v>
      </c>
      <c r="M101" s="394"/>
    </row>
    <row r="102" spans="1:13" ht="15.95" customHeight="1">
      <c r="A102" s="123" t="s">
        <v>332</v>
      </c>
      <c r="B102" s="389"/>
      <c r="C102" s="460" t="s">
        <v>987</v>
      </c>
      <c r="D102" s="484">
        <v>1</v>
      </c>
      <c r="E102" s="238" t="s">
        <v>268</v>
      </c>
      <c r="F102" s="420"/>
      <c r="G102" s="26"/>
      <c r="H102" s="169" t="s">
        <v>589</v>
      </c>
      <c r="I102" s="389">
        <v>41780</v>
      </c>
      <c r="J102" s="461" t="s">
        <v>123</v>
      </c>
      <c r="K102" s="484">
        <v>3.8336999999999999</v>
      </c>
      <c r="L102" s="238" t="s">
        <v>17</v>
      </c>
      <c r="M102" s="418"/>
    </row>
    <row r="103" spans="1:13" ht="15.95" customHeight="1">
      <c r="A103" s="169" t="s">
        <v>704</v>
      </c>
      <c r="B103" s="391"/>
      <c r="C103" s="460" t="s">
        <v>978</v>
      </c>
      <c r="D103" s="484">
        <v>1</v>
      </c>
      <c r="E103" s="238" t="s">
        <v>268</v>
      </c>
      <c r="F103" s="392"/>
      <c r="G103" s="26"/>
      <c r="H103" s="51" t="s">
        <v>455</v>
      </c>
      <c r="I103" s="399">
        <v>43160</v>
      </c>
      <c r="J103" s="473" t="s">
        <v>1112</v>
      </c>
      <c r="K103" s="486">
        <v>0</v>
      </c>
      <c r="L103" s="86" t="s">
        <v>17</v>
      </c>
      <c r="M103" s="394" t="s">
        <v>1284</v>
      </c>
    </row>
    <row r="104" spans="1:13" ht="15.95" customHeight="1">
      <c r="A104" s="169" t="s">
        <v>563</v>
      </c>
      <c r="B104" s="387"/>
      <c r="C104" s="460" t="s">
        <v>984</v>
      </c>
      <c r="D104" s="485">
        <v>1</v>
      </c>
      <c r="E104" s="77" t="s">
        <v>268</v>
      </c>
      <c r="F104" s="394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9" t="s">
        <v>1</v>
      </c>
      <c r="B113" s="316" t="s">
        <v>144</v>
      </c>
      <c r="C113" s="245" t="s">
        <v>63</v>
      </c>
      <c r="D113" s="229" t="s">
        <v>112</v>
      </c>
      <c r="E113" s="385"/>
      <c r="F113" s="269" t="s">
        <v>113</v>
      </c>
      <c r="H113" s="229" t="s">
        <v>1</v>
      </c>
      <c r="I113" s="316" t="s">
        <v>144</v>
      </c>
      <c r="J113" s="245" t="s">
        <v>63</v>
      </c>
      <c r="K113" s="229" t="s">
        <v>112</v>
      </c>
      <c r="L113" s="385"/>
      <c r="M113" s="269" t="s">
        <v>113</v>
      </c>
    </row>
    <row r="114" spans="1:13" ht="15.95" customHeight="1">
      <c r="A114" s="249" t="s">
        <v>657</v>
      </c>
      <c r="B114" s="395">
        <v>43168</v>
      </c>
      <c r="C114" s="375" t="s">
        <v>337</v>
      </c>
      <c r="D114" s="485">
        <v>1</v>
      </c>
      <c r="E114" s="77" t="s">
        <v>17</v>
      </c>
      <c r="F114" s="388"/>
      <c r="G114" s="26"/>
      <c r="H114" s="249" t="s">
        <v>654</v>
      </c>
      <c r="I114" s="395">
        <v>43194</v>
      </c>
      <c r="J114" s="466" t="s">
        <v>1119</v>
      </c>
      <c r="K114" s="485">
        <v>72</v>
      </c>
      <c r="L114" s="77" t="s">
        <v>17</v>
      </c>
      <c r="M114" s="388"/>
    </row>
    <row r="115" spans="1:13" ht="15.95" customHeight="1">
      <c r="A115" s="249" t="s">
        <v>1253</v>
      </c>
      <c r="B115" s="395">
        <v>43206</v>
      </c>
      <c r="C115" s="466" t="s">
        <v>337</v>
      </c>
      <c r="D115" s="485">
        <v>3</v>
      </c>
      <c r="E115" s="77" t="s">
        <v>17</v>
      </c>
      <c r="F115" s="388"/>
      <c r="G115" s="26"/>
      <c r="H115" s="123" t="s">
        <v>700</v>
      </c>
      <c r="I115" s="395">
        <v>43194</v>
      </c>
      <c r="J115" s="466" t="s">
        <v>1120</v>
      </c>
      <c r="K115" s="485">
        <v>72</v>
      </c>
      <c r="L115" s="77" t="s">
        <v>17</v>
      </c>
      <c r="M115" s="388"/>
    </row>
    <row r="116" spans="1:13" ht="15.95" customHeight="1">
      <c r="A116" s="169" t="s">
        <v>855</v>
      </c>
      <c r="B116" s="393">
        <v>42934</v>
      </c>
      <c r="C116" s="460" t="s">
        <v>337</v>
      </c>
      <c r="D116" s="484">
        <v>1</v>
      </c>
      <c r="E116" s="239" t="s">
        <v>17</v>
      </c>
      <c r="F116" s="396" t="s">
        <v>795</v>
      </c>
      <c r="G116" s="26"/>
      <c r="H116" s="169" t="s">
        <v>450</v>
      </c>
      <c r="I116" s="395">
        <v>43194</v>
      </c>
      <c r="J116" s="466" t="s">
        <v>1122</v>
      </c>
      <c r="K116" s="485">
        <v>72</v>
      </c>
      <c r="L116" s="77" t="s">
        <v>17</v>
      </c>
      <c r="M116" s="388"/>
    </row>
    <row r="117" spans="1:13" ht="15.95" customHeight="1">
      <c r="A117" s="169" t="s">
        <v>640</v>
      </c>
      <c r="B117" s="387">
        <v>43206</v>
      </c>
      <c r="C117" s="460" t="s">
        <v>215</v>
      </c>
      <c r="D117" s="485">
        <v>9</v>
      </c>
      <c r="E117" s="77" t="s">
        <v>17</v>
      </c>
      <c r="F117" s="394"/>
      <c r="G117" s="26"/>
      <c r="H117" s="85" t="s">
        <v>1121</v>
      </c>
      <c r="I117" s="399">
        <v>43194</v>
      </c>
      <c r="J117" s="468" t="s">
        <v>1122</v>
      </c>
      <c r="K117" s="486">
        <v>0</v>
      </c>
      <c r="L117" s="86" t="s">
        <v>17</v>
      </c>
      <c r="M117" s="388"/>
    </row>
    <row r="118" spans="1:13" ht="15.95" customHeight="1">
      <c r="A118" s="249" t="s">
        <v>657</v>
      </c>
      <c r="B118" s="395">
        <v>43168</v>
      </c>
      <c r="C118" s="375" t="s">
        <v>215</v>
      </c>
      <c r="D118" s="485">
        <v>4</v>
      </c>
      <c r="E118" s="77" t="s">
        <v>17</v>
      </c>
      <c r="F118" s="388"/>
      <c r="G118" s="26"/>
      <c r="H118" s="249" t="s">
        <v>489</v>
      </c>
      <c r="I118" s="395">
        <v>43194</v>
      </c>
      <c r="J118" s="466" t="s">
        <v>1123</v>
      </c>
      <c r="K118" s="485">
        <v>16</v>
      </c>
      <c r="L118" s="77" t="s">
        <v>17</v>
      </c>
      <c r="M118" s="388"/>
    </row>
    <row r="119" spans="1:13" ht="15.95" customHeight="1">
      <c r="A119" s="169" t="s">
        <v>640</v>
      </c>
      <c r="B119" s="387">
        <v>43206</v>
      </c>
      <c r="C119" s="460" t="s">
        <v>216</v>
      </c>
      <c r="D119" s="485">
        <v>10</v>
      </c>
      <c r="E119" s="77" t="s">
        <v>17</v>
      </c>
      <c r="F119" s="394"/>
      <c r="G119" s="26"/>
      <c r="H119" s="169" t="s">
        <v>521</v>
      </c>
      <c r="I119" s="395">
        <v>43194</v>
      </c>
      <c r="J119" s="466" t="s">
        <v>1124</v>
      </c>
      <c r="K119" s="485">
        <v>72</v>
      </c>
      <c r="L119" s="77" t="s">
        <v>17</v>
      </c>
      <c r="M119" s="388"/>
    </row>
    <row r="120" spans="1:13" ht="15.95" customHeight="1">
      <c r="A120" s="249" t="s">
        <v>657</v>
      </c>
      <c r="B120" s="395">
        <v>43168</v>
      </c>
      <c r="C120" s="375" t="s">
        <v>216</v>
      </c>
      <c r="D120" s="254">
        <v>2</v>
      </c>
      <c r="E120" s="77" t="s">
        <v>17</v>
      </c>
      <c r="F120" s="388"/>
      <c r="G120" s="26"/>
      <c r="H120" s="249" t="s">
        <v>1125</v>
      </c>
      <c r="I120" s="395">
        <v>43194</v>
      </c>
      <c r="J120" s="466" t="s">
        <v>1126</v>
      </c>
      <c r="K120" s="485">
        <v>72</v>
      </c>
      <c r="L120" s="77" t="s">
        <v>17</v>
      </c>
      <c r="M120" s="388"/>
    </row>
    <row r="121" spans="1:13" ht="15.95" customHeight="1">
      <c r="A121" s="249" t="s">
        <v>657</v>
      </c>
      <c r="B121" s="393">
        <v>43124</v>
      </c>
      <c r="C121" s="375" t="s">
        <v>708</v>
      </c>
      <c r="D121" s="484">
        <v>2</v>
      </c>
      <c r="E121" s="239" t="s">
        <v>17</v>
      </c>
      <c r="F121" s="394" t="s">
        <v>1021</v>
      </c>
      <c r="G121" s="26"/>
      <c r="H121" s="249" t="s">
        <v>518</v>
      </c>
      <c r="I121" s="393">
        <v>43005</v>
      </c>
      <c r="J121" s="460" t="s">
        <v>831</v>
      </c>
      <c r="K121" s="484">
        <v>11</v>
      </c>
      <c r="L121" s="239" t="s">
        <v>17</v>
      </c>
      <c r="M121" s="396"/>
    </row>
    <row r="122" spans="1:13" ht="15.95" customHeight="1">
      <c r="A122" s="249" t="s">
        <v>1253</v>
      </c>
      <c r="B122" s="395">
        <v>43206</v>
      </c>
      <c r="C122" s="466" t="s">
        <v>708</v>
      </c>
      <c r="D122" s="485">
        <v>1</v>
      </c>
      <c r="E122" s="77" t="s">
        <v>17</v>
      </c>
      <c r="F122" s="388"/>
      <c r="G122" s="26"/>
      <c r="H122" s="85" t="s">
        <v>567</v>
      </c>
      <c r="I122" s="399">
        <v>43005</v>
      </c>
      <c r="J122" s="473" t="s">
        <v>831</v>
      </c>
      <c r="K122" s="486">
        <v>0</v>
      </c>
      <c r="L122" s="86" t="s">
        <v>17</v>
      </c>
      <c r="M122" s="396" t="s">
        <v>938</v>
      </c>
    </row>
    <row r="123" spans="1:13" ht="15.95" customHeight="1">
      <c r="A123" s="249" t="s">
        <v>1253</v>
      </c>
      <c r="B123" s="395">
        <v>43206</v>
      </c>
      <c r="C123" s="466" t="s">
        <v>944</v>
      </c>
      <c r="D123" s="485">
        <v>1</v>
      </c>
      <c r="E123" s="77" t="s">
        <v>17</v>
      </c>
      <c r="F123" s="388"/>
      <c r="G123" s="26"/>
      <c r="H123" s="123" t="s">
        <v>767</v>
      </c>
      <c r="I123" s="395">
        <v>42929</v>
      </c>
      <c r="J123" s="467" t="s">
        <v>131</v>
      </c>
      <c r="K123" s="485">
        <v>4</v>
      </c>
      <c r="L123" s="77" t="s">
        <v>17</v>
      </c>
      <c r="M123" s="394"/>
    </row>
    <row r="124" spans="1:13" ht="15.95" customHeight="1">
      <c r="A124" s="249" t="s">
        <v>495</v>
      </c>
      <c r="B124" s="387">
        <v>43075</v>
      </c>
      <c r="C124" s="461" t="s">
        <v>217</v>
      </c>
      <c r="D124" s="483">
        <v>200</v>
      </c>
      <c r="E124" s="421" t="s">
        <v>1160</v>
      </c>
      <c r="F124" s="405" t="s">
        <v>1151</v>
      </c>
      <c r="G124" s="26"/>
      <c r="H124" s="169" t="s">
        <v>257</v>
      </c>
      <c r="I124" s="387">
        <v>43077</v>
      </c>
      <c r="J124" s="460" t="s">
        <v>946</v>
      </c>
      <c r="K124" s="485">
        <v>8</v>
      </c>
      <c r="L124" s="77" t="s">
        <v>17</v>
      </c>
      <c r="M124" s="394"/>
    </row>
    <row r="125" spans="1:13" ht="15.95" customHeight="1">
      <c r="A125" s="169" t="s">
        <v>640</v>
      </c>
      <c r="B125" s="387">
        <v>43206</v>
      </c>
      <c r="C125" s="460" t="s">
        <v>217</v>
      </c>
      <c r="D125" s="485">
        <v>2</v>
      </c>
      <c r="E125" s="77" t="s">
        <v>17</v>
      </c>
      <c r="F125" s="394"/>
      <c r="G125" s="26"/>
      <c r="H125" s="123" t="s">
        <v>535</v>
      </c>
      <c r="I125" s="395">
        <v>43152</v>
      </c>
      <c r="J125" s="466" t="s">
        <v>738</v>
      </c>
      <c r="K125" s="485">
        <v>48</v>
      </c>
      <c r="L125" s="77" t="s">
        <v>17</v>
      </c>
      <c r="M125" s="388"/>
    </row>
    <row r="126" spans="1:13" ht="15.95" customHeight="1">
      <c r="A126" s="249" t="s">
        <v>657</v>
      </c>
      <c r="B126" s="395">
        <v>43168</v>
      </c>
      <c r="C126" s="375" t="s">
        <v>217</v>
      </c>
      <c r="D126" s="485">
        <v>1</v>
      </c>
      <c r="E126" s="77" t="s">
        <v>17</v>
      </c>
      <c r="F126" s="388"/>
      <c r="G126" s="26"/>
      <c r="H126" s="123" t="s">
        <v>537</v>
      </c>
      <c r="I126" s="395">
        <v>43152</v>
      </c>
      <c r="J126" s="466" t="s">
        <v>738</v>
      </c>
      <c r="K126" s="485">
        <v>48</v>
      </c>
      <c r="L126" s="77" t="s">
        <v>17</v>
      </c>
      <c r="M126" s="388"/>
    </row>
    <row r="127" spans="1:13" ht="15.95" customHeight="1">
      <c r="A127" s="169" t="s">
        <v>534</v>
      </c>
      <c r="B127" s="414">
        <v>42621</v>
      </c>
      <c r="C127" s="471" t="s">
        <v>217</v>
      </c>
      <c r="D127" s="483">
        <v>1</v>
      </c>
      <c r="E127" s="241" t="s">
        <v>17</v>
      </c>
      <c r="F127" s="410" t="s">
        <v>596</v>
      </c>
      <c r="G127" s="26"/>
      <c r="H127" s="169" t="s">
        <v>343</v>
      </c>
      <c r="I127" s="395">
        <v>43152</v>
      </c>
      <c r="J127" s="466" t="s">
        <v>738</v>
      </c>
      <c r="K127" s="485">
        <v>33</v>
      </c>
      <c r="L127" s="77" t="s">
        <v>17</v>
      </c>
      <c r="M127" s="388"/>
    </row>
    <row r="128" spans="1:13" ht="15.95" customHeight="1">
      <c r="A128" s="169" t="s">
        <v>640</v>
      </c>
      <c r="B128" s="387">
        <v>43206</v>
      </c>
      <c r="C128" s="460" t="s">
        <v>228</v>
      </c>
      <c r="D128" s="485">
        <v>12</v>
      </c>
      <c r="E128" s="77" t="s">
        <v>17</v>
      </c>
      <c r="F128" s="394"/>
      <c r="G128" s="26"/>
      <c r="H128" s="169" t="s">
        <v>810</v>
      </c>
      <c r="I128" s="387">
        <v>43152</v>
      </c>
      <c r="J128" s="460" t="s">
        <v>738</v>
      </c>
      <c r="K128" s="485">
        <v>48</v>
      </c>
      <c r="L128" s="77" t="s">
        <v>17</v>
      </c>
      <c r="M128" s="394"/>
    </row>
    <row r="129" spans="1:13" ht="15.95" customHeight="1">
      <c r="A129" s="249" t="s">
        <v>657</v>
      </c>
      <c r="B129" s="395">
        <v>43168</v>
      </c>
      <c r="C129" s="375" t="s">
        <v>228</v>
      </c>
      <c r="D129" s="485">
        <v>2</v>
      </c>
      <c r="E129" s="77" t="s">
        <v>17</v>
      </c>
      <c r="F129" s="388"/>
      <c r="G129" s="26"/>
      <c r="H129" s="169" t="s">
        <v>1014</v>
      </c>
      <c r="I129" s="395">
        <v>43152</v>
      </c>
      <c r="J129" s="466" t="s">
        <v>738</v>
      </c>
      <c r="K129" s="485">
        <v>1</v>
      </c>
      <c r="L129" s="77" t="s">
        <v>17</v>
      </c>
      <c r="M129" s="388"/>
    </row>
    <row r="130" spans="1:13" ht="15.95" customHeight="1">
      <c r="A130" s="169" t="s">
        <v>607</v>
      </c>
      <c r="B130" s="393">
        <v>43074</v>
      </c>
      <c r="C130" s="460" t="s">
        <v>941</v>
      </c>
      <c r="D130" s="484">
        <v>9</v>
      </c>
      <c r="E130" s="239" t="s">
        <v>17</v>
      </c>
      <c r="F130" s="396"/>
      <c r="G130" s="26"/>
      <c r="H130" s="169" t="s">
        <v>427</v>
      </c>
      <c r="I130" s="414">
        <v>42853</v>
      </c>
      <c r="J130" s="471" t="s">
        <v>738</v>
      </c>
      <c r="K130" s="483">
        <v>3</v>
      </c>
      <c r="L130" s="241" t="s">
        <v>17</v>
      </c>
      <c r="M130" s="400" t="s">
        <v>778</v>
      </c>
    </row>
    <row r="131" spans="1:13" ht="15.95" customHeight="1">
      <c r="A131" s="249" t="s">
        <v>1253</v>
      </c>
      <c r="B131" s="395">
        <v>43206</v>
      </c>
      <c r="C131" s="466" t="s">
        <v>253</v>
      </c>
      <c r="D131" s="485">
        <v>5</v>
      </c>
      <c r="E131" s="77" t="s">
        <v>17</v>
      </c>
      <c r="F131" s="388"/>
      <c r="G131" s="26"/>
      <c r="H131" s="169" t="s">
        <v>495</v>
      </c>
      <c r="I131" s="393"/>
      <c r="J131" s="460" t="s">
        <v>932</v>
      </c>
      <c r="K131" s="484">
        <v>5</v>
      </c>
      <c r="L131" s="239" t="s">
        <v>17</v>
      </c>
      <c r="M131" s="396"/>
    </row>
    <row r="132" spans="1:13" ht="15.95" customHeight="1">
      <c r="A132" s="249" t="s">
        <v>495</v>
      </c>
      <c r="B132" s="387">
        <v>43124</v>
      </c>
      <c r="C132" s="461" t="s">
        <v>261</v>
      </c>
      <c r="D132" s="483">
        <v>0.4</v>
      </c>
      <c r="E132" s="237" t="s">
        <v>17</v>
      </c>
      <c r="F132" s="405" t="s">
        <v>1255</v>
      </c>
      <c r="G132" s="26"/>
      <c r="H132" s="169" t="s">
        <v>652</v>
      </c>
      <c r="I132" s="395">
        <v>43060</v>
      </c>
      <c r="J132" s="462" t="s">
        <v>901</v>
      </c>
      <c r="K132" s="485">
        <v>8</v>
      </c>
      <c r="L132" s="77" t="s">
        <v>17</v>
      </c>
      <c r="M132" s="394"/>
    </row>
    <row r="133" spans="1:13" ht="15.95" customHeight="1">
      <c r="A133" s="249" t="s">
        <v>1253</v>
      </c>
      <c r="B133" s="395">
        <v>43206</v>
      </c>
      <c r="C133" s="466" t="s">
        <v>261</v>
      </c>
      <c r="D133" s="485">
        <v>23</v>
      </c>
      <c r="E133" s="77" t="s">
        <v>17</v>
      </c>
      <c r="F133" s="388"/>
      <c r="G133" s="26"/>
      <c r="H133" s="384" t="s">
        <v>990</v>
      </c>
      <c r="I133" s="422">
        <v>43217</v>
      </c>
      <c r="J133" s="474" t="s">
        <v>1279</v>
      </c>
      <c r="K133" s="487">
        <v>1</v>
      </c>
      <c r="L133" s="423" t="s">
        <v>17</v>
      </c>
      <c r="M133" s="424" t="s">
        <v>1280</v>
      </c>
    </row>
    <row r="134" spans="1:13" ht="15.95" customHeight="1">
      <c r="A134" s="169" t="s">
        <v>333</v>
      </c>
      <c r="B134" s="389">
        <v>42717</v>
      </c>
      <c r="C134" s="461" t="s">
        <v>261</v>
      </c>
      <c r="D134" s="483">
        <v>2</v>
      </c>
      <c r="E134" s="237" t="s">
        <v>17</v>
      </c>
      <c r="F134" s="410" t="s">
        <v>854</v>
      </c>
      <c r="G134" s="26"/>
      <c r="H134" s="169" t="s">
        <v>589</v>
      </c>
      <c r="I134" s="387"/>
      <c r="J134" s="460" t="s">
        <v>117</v>
      </c>
      <c r="K134" s="483">
        <v>1</v>
      </c>
      <c r="L134" s="237" t="s">
        <v>17</v>
      </c>
      <c r="M134" s="406"/>
    </row>
    <row r="135" spans="1:13" ht="15.95" customHeight="1">
      <c r="A135" s="384" t="s">
        <v>990</v>
      </c>
      <c r="B135" s="422">
        <v>43217</v>
      </c>
      <c r="C135" s="474" t="s">
        <v>1281</v>
      </c>
      <c r="D135" s="487">
        <v>2</v>
      </c>
      <c r="E135" s="423" t="s">
        <v>17</v>
      </c>
      <c r="F135" s="424" t="s">
        <v>1280</v>
      </c>
      <c r="G135" s="26"/>
      <c r="H135" s="169" t="s">
        <v>351</v>
      </c>
      <c r="I135" s="389">
        <v>40212</v>
      </c>
      <c r="J135" s="460" t="s">
        <v>117</v>
      </c>
      <c r="K135" s="488">
        <v>3.3369999999999997</v>
      </c>
      <c r="L135" s="244" t="s">
        <v>118</v>
      </c>
      <c r="M135" s="406" t="s">
        <v>1200</v>
      </c>
    </row>
    <row r="136" spans="1:13" ht="15.95" customHeight="1">
      <c r="A136" s="169" t="s">
        <v>427</v>
      </c>
      <c r="B136" s="389">
        <v>42678</v>
      </c>
      <c r="C136" s="461" t="s">
        <v>501</v>
      </c>
      <c r="D136" s="483">
        <v>6</v>
      </c>
      <c r="E136" s="238" t="s">
        <v>17</v>
      </c>
      <c r="F136" s="390" t="s">
        <v>875</v>
      </c>
      <c r="G136" s="26"/>
      <c r="H136" s="169" t="s">
        <v>589</v>
      </c>
      <c r="I136" s="389" t="s">
        <v>223</v>
      </c>
      <c r="J136" s="461" t="s">
        <v>225</v>
      </c>
      <c r="K136" s="483">
        <v>1</v>
      </c>
      <c r="L136" s="238" t="s">
        <v>17</v>
      </c>
      <c r="M136" s="418"/>
    </row>
    <row r="137" spans="1:13" ht="15.95" customHeight="1">
      <c r="A137" s="123" t="s">
        <v>515</v>
      </c>
      <c r="B137" s="393">
        <v>43077</v>
      </c>
      <c r="C137" s="460" t="s">
        <v>67</v>
      </c>
      <c r="D137" s="484">
        <v>11</v>
      </c>
      <c r="E137" s="239" t="s">
        <v>17</v>
      </c>
      <c r="F137" s="415"/>
      <c r="G137" s="26"/>
      <c r="H137" s="249" t="s">
        <v>453</v>
      </c>
      <c r="I137" s="387">
        <v>43104</v>
      </c>
      <c r="J137" s="460" t="s">
        <v>869</v>
      </c>
      <c r="K137" s="485">
        <v>1</v>
      </c>
      <c r="L137" s="77" t="s">
        <v>17</v>
      </c>
      <c r="M137" s="394"/>
    </row>
    <row r="138" spans="1:13" ht="15.95" customHeight="1">
      <c r="A138" s="169" t="s">
        <v>87</v>
      </c>
      <c r="B138" s="387">
        <v>41933</v>
      </c>
      <c r="C138" s="461" t="s">
        <v>67</v>
      </c>
      <c r="D138" s="483">
        <v>1</v>
      </c>
      <c r="E138" s="237" t="s">
        <v>18</v>
      </c>
      <c r="F138" s="410" t="s">
        <v>243</v>
      </c>
      <c r="G138" s="26"/>
      <c r="H138" s="51" t="s">
        <v>742</v>
      </c>
      <c r="I138" s="407">
        <v>43104</v>
      </c>
      <c r="J138" s="473" t="s">
        <v>869</v>
      </c>
      <c r="K138" s="486">
        <v>0</v>
      </c>
      <c r="L138" s="86" t="s">
        <v>17</v>
      </c>
      <c r="M138" s="394"/>
    </row>
    <row r="139" spans="1:13" ht="15.95" customHeight="1">
      <c r="A139" s="123" t="s">
        <v>518</v>
      </c>
      <c r="B139" s="395">
        <v>43194</v>
      </c>
      <c r="C139" s="466" t="s">
        <v>1116</v>
      </c>
      <c r="D139" s="485">
        <v>7</v>
      </c>
      <c r="E139" s="77" t="s">
        <v>17</v>
      </c>
      <c r="F139" s="388"/>
      <c r="G139" s="26"/>
      <c r="H139" s="169" t="s">
        <v>652</v>
      </c>
      <c r="I139" s="414">
        <v>42873</v>
      </c>
      <c r="J139" s="471" t="s">
        <v>669</v>
      </c>
      <c r="K139" s="483">
        <v>5400</v>
      </c>
      <c r="L139" s="243" t="s">
        <v>1134</v>
      </c>
      <c r="M139" s="415"/>
    </row>
    <row r="140" spans="1:13" ht="15.95" customHeight="1">
      <c r="A140" s="85" t="s">
        <v>567</v>
      </c>
      <c r="B140" s="399">
        <v>43194</v>
      </c>
      <c r="C140" s="468" t="s">
        <v>1116</v>
      </c>
      <c r="D140" s="486">
        <v>0</v>
      </c>
      <c r="E140" s="86" t="s">
        <v>17</v>
      </c>
      <c r="F140" s="388"/>
      <c r="G140" s="26"/>
      <c r="H140" s="169" t="s">
        <v>589</v>
      </c>
      <c r="I140" s="387">
        <v>42066</v>
      </c>
      <c r="J140" s="461" t="s">
        <v>208</v>
      </c>
      <c r="K140" s="483">
        <v>2.8690000000000002</v>
      </c>
      <c r="L140" s="237" t="s">
        <v>18</v>
      </c>
      <c r="M140" s="406"/>
    </row>
    <row r="141" spans="1:13" ht="15.95" customHeight="1">
      <c r="A141" s="123" t="s">
        <v>503</v>
      </c>
      <c r="B141" s="395">
        <v>43194</v>
      </c>
      <c r="C141" s="466" t="s">
        <v>1116</v>
      </c>
      <c r="D141" s="485">
        <v>14</v>
      </c>
      <c r="E141" s="77" t="s">
        <v>17</v>
      </c>
      <c r="F141" s="388"/>
      <c r="G141" s="26"/>
      <c r="H141" s="123" t="s">
        <v>859</v>
      </c>
      <c r="I141" s="395">
        <v>43196</v>
      </c>
      <c r="J141" s="460" t="s">
        <v>899</v>
      </c>
      <c r="K141" s="485">
        <v>34</v>
      </c>
      <c r="L141" s="77" t="s">
        <v>17</v>
      </c>
      <c r="M141" s="416"/>
    </row>
    <row r="142" spans="1:13" ht="15.95" customHeight="1">
      <c r="A142" s="123" t="s">
        <v>503</v>
      </c>
      <c r="B142" s="395">
        <v>43194</v>
      </c>
      <c r="C142" s="466" t="s">
        <v>1116</v>
      </c>
      <c r="D142" s="485">
        <v>15</v>
      </c>
      <c r="E142" s="77" t="s">
        <v>17</v>
      </c>
      <c r="F142" s="388"/>
      <c r="G142" s="26"/>
      <c r="H142" s="123" t="s">
        <v>503</v>
      </c>
      <c r="I142" s="395">
        <v>43082</v>
      </c>
      <c r="J142" s="462" t="s">
        <v>953</v>
      </c>
      <c r="K142" s="485">
        <v>18</v>
      </c>
      <c r="L142" s="77" t="s">
        <v>17</v>
      </c>
      <c r="M142" s="394" t="s">
        <v>938</v>
      </c>
    </row>
    <row r="143" spans="1:13" ht="15.95" customHeight="1">
      <c r="A143" s="169" t="s">
        <v>839</v>
      </c>
      <c r="B143" s="393">
        <v>42906</v>
      </c>
      <c r="C143" s="460" t="s">
        <v>707</v>
      </c>
      <c r="D143" s="484">
        <v>2</v>
      </c>
      <c r="E143" s="239" t="s">
        <v>17</v>
      </c>
      <c r="F143" s="425" t="s">
        <v>863</v>
      </c>
      <c r="G143" s="26"/>
      <c r="H143" s="169" t="s">
        <v>560</v>
      </c>
      <c r="I143" s="395">
        <v>43082</v>
      </c>
      <c r="J143" s="460" t="s">
        <v>953</v>
      </c>
      <c r="K143" s="485">
        <v>48</v>
      </c>
      <c r="L143" s="77" t="s">
        <v>17</v>
      </c>
      <c r="M143" s="394" t="s">
        <v>962</v>
      </c>
    </row>
    <row r="144" spans="1:13" ht="15.95" customHeight="1">
      <c r="A144" s="169" t="s">
        <v>839</v>
      </c>
      <c r="B144" s="393">
        <v>42822</v>
      </c>
      <c r="C144" s="460" t="s">
        <v>631</v>
      </c>
      <c r="D144" s="484">
        <v>4</v>
      </c>
      <c r="E144" s="243" t="s">
        <v>1134</v>
      </c>
      <c r="F144" s="425" t="s">
        <v>1258</v>
      </c>
      <c r="G144" s="26"/>
      <c r="H144" s="169" t="s">
        <v>469</v>
      </c>
      <c r="I144" s="393">
        <v>42920</v>
      </c>
      <c r="J144" s="460" t="s">
        <v>350</v>
      </c>
      <c r="K144" s="484">
        <v>43</v>
      </c>
      <c r="L144" s="239" t="s">
        <v>17</v>
      </c>
      <c r="M144" s="394"/>
    </row>
    <row r="145" spans="1:13" ht="15.95" customHeight="1">
      <c r="A145" s="169" t="s">
        <v>839</v>
      </c>
      <c r="B145" s="393">
        <v>42822</v>
      </c>
      <c r="C145" s="460" t="s">
        <v>631</v>
      </c>
      <c r="D145" s="484">
        <v>12</v>
      </c>
      <c r="E145" s="239" t="s">
        <v>17</v>
      </c>
      <c r="F145" s="425" t="s">
        <v>863</v>
      </c>
      <c r="G145" s="26"/>
      <c r="H145" s="169" t="s">
        <v>557</v>
      </c>
      <c r="I145" s="395">
        <v>43077</v>
      </c>
      <c r="J145" s="460" t="s">
        <v>375</v>
      </c>
      <c r="K145" s="485">
        <v>48</v>
      </c>
      <c r="L145" s="77" t="s">
        <v>17</v>
      </c>
      <c r="M145" s="394"/>
    </row>
    <row r="146" spans="1:13" ht="15.95" customHeight="1">
      <c r="A146" s="169" t="s">
        <v>965</v>
      </c>
      <c r="B146" s="395">
        <v>43146</v>
      </c>
      <c r="C146" s="460" t="s">
        <v>1040</v>
      </c>
      <c r="D146" s="485">
        <v>2</v>
      </c>
      <c r="E146" s="77" t="s">
        <v>17</v>
      </c>
      <c r="F146" s="388"/>
      <c r="G146" s="26"/>
      <c r="H146" s="249" t="s">
        <v>488</v>
      </c>
      <c r="I146" s="395">
        <v>43077</v>
      </c>
      <c r="J146" s="460" t="s">
        <v>375</v>
      </c>
      <c r="K146" s="485">
        <v>27</v>
      </c>
      <c r="L146" s="77" t="s">
        <v>17</v>
      </c>
      <c r="M146" s="394"/>
    </row>
    <row r="147" spans="1:13" ht="15.95" customHeight="1">
      <c r="A147" s="169" t="s">
        <v>257</v>
      </c>
      <c r="B147" s="395">
        <v>43146</v>
      </c>
      <c r="C147" s="460" t="s">
        <v>1040</v>
      </c>
      <c r="D147" s="485">
        <v>52</v>
      </c>
      <c r="E147" s="77" t="s">
        <v>17</v>
      </c>
      <c r="F147" s="388"/>
      <c r="G147" s="26"/>
      <c r="H147" s="249" t="s">
        <v>1050</v>
      </c>
      <c r="I147" s="395">
        <v>43152</v>
      </c>
      <c r="J147" s="466" t="s">
        <v>375</v>
      </c>
      <c r="K147" s="485">
        <v>46</v>
      </c>
      <c r="L147" s="77" t="s">
        <v>17</v>
      </c>
      <c r="M147" s="388"/>
    </row>
    <row r="148" spans="1:13" ht="15.95" customHeight="1">
      <c r="A148" s="169" t="s">
        <v>427</v>
      </c>
      <c r="B148" s="389">
        <v>42906</v>
      </c>
      <c r="C148" s="461" t="s">
        <v>706</v>
      </c>
      <c r="D148" s="483">
        <v>1</v>
      </c>
      <c r="E148" s="238" t="s">
        <v>17</v>
      </c>
      <c r="F148" s="394" t="s">
        <v>868</v>
      </c>
      <c r="G148" s="26"/>
      <c r="H148" s="376" t="s">
        <v>1271</v>
      </c>
      <c r="I148" s="426">
        <v>43216</v>
      </c>
      <c r="J148" s="475" t="s">
        <v>1270</v>
      </c>
      <c r="K148" s="489">
        <v>1</v>
      </c>
      <c r="L148" s="427" t="s">
        <v>17</v>
      </c>
      <c r="M148" s="428" t="s">
        <v>1267</v>
      </c>
    </row>
    <row r="149" spans="1:13" ht="15.95" customHeight="1">
      <c r="A149" s="249" t="s">
        <v>1127</v>
      </c>
      <c r="B149" s="395">
        <v>43194</v>
      </c>
      <c r="C149" s="466" t="s">
        <v>1128</v>
      </c>
      <c r="D149" s="485">
        <v>72</v>
      </c>
      <c r="E149" s="77" t="s">
        <v>17</v>
      </c>
      <c r="F149" s="388"/>
      <c r="G149" s="26"/>
      <c r="H149" s="169" t="s">
        <v>516</v>
      </c>
      <c r="I149" s="387">
        <v>43172</v>
      </c>
      <c r="J149" s="460" t="s">
        <v>1002</v>
      </c>
      <c r="K149" s="485">
        <v>8</v>
      </c>
      <c r="L149" s="77" t="s">
        <v>17</v>
      </c>
      <c r="M149" s="394"/>
    </row>
    <row r="150" spans="1:13" ht="15.95" customHeight="1">
      <c r="A150" s="169" t="s">
        <v>516</v>
      </c>
      <c r="B150" s="387">
        <v>43194</v>
      </c>
      <c r="C150" s="460" t="s">
        <v>1118</v>
      </c>
      <c r="D150" s="485">
        <v>8</v>
      </c>
      <c r="E150" s="77" t="s">
        <v>17</v>
      </c>
      <c r="F150" s="394"/>
      <c r="G150" s="26"/>
      <c r="H150" s="123" t="s">
        <v>517</v>
      </c>
      <c r="I150" s="395">
        <v>43178</v>
      </c>
      <c r="J150" s="466" t="s">
        <v>947</v>
      </c>
      <c r="K150" s="485">
        <v>2</v>
      </c>
      <c r="L150" s="77" t="s">
        <v>17</v>
      </c>
      <c r="M150" s="394"/>
    </row>
    <row r="151" spans="1:13" ht="15.95" customHeight="1">
      <c r="G151" s="26"/>
      <c r="H151" s="249" t="s">
        <v>515</v>
      </c>
      <c r="I151" s="389">
        <v>43077</v>
      </c>
      <c r="J151" s="461" t="s">
        <v>947</v>
      </c>
      <c r="K151" s="483">
        <v>1</v>
      </c>
      <c r="L151" s="243" t="s">
        <v>948</v>
      </c>
      <c r="M151" s="415"/>
    </row>
    <row r="152" spans="1:13" ht="15.95" customHeight="1">
      <c r="G152" s="26"/>
      <c r="H152" s="169" t="s">
        <v>464</v>
      </c>
      <c r="I152" s="395">
        <v>43124</v>
      </c>
      <c r="J152" s="466" t="s">
        <v>912</v>
      </c>
      <c r="K152" s="485">
        <v>2</v>
      </c>
      <c r="L152" s="77" t="s">
        <v>17</v>
      </c>
      <c r="M152" s="390"/>
    </row>
    <row r="153" spans="1:13" ht="15.95" customHeight="1">
      <c r="G153" s="26"/>
      <c r="H153" s="123" t="s">
        <v>767</v>
      </c>
      <c r="I153" s="395">
        <v>43060</v>
      </c>
      <c r="J153" s="460" t="s">
        <v>912</v>
      </c>
      <c r="K153" s="485">
        <v>1</v>
      </c>
      <c r="L153" s="77" t="s">
        <v>17</v>
      </c>
      <c r="M153" s="394" t="s">
        <v>1149</v>
      </c>
    </row>
    <row r="154" spans="1:13" ht="15.95" customHeight="1">
      <c r="G154" s="26"/>
      <c r="H154" s="249" t="s">
        <v>990</v>
      </c>
      <c r="I154" s="395">
        <v>43157</v>
      </c>
      <c r="J154" s="466" t="s">
        <v>912</v>
      </c>
      <c r="K154" s="485">
        <v>1.71</v>
      </c>
      <c r="L154" s="77" t="s">
        <v>17</v>
      </c>
      <c r="M154" s="388" t="s">
        <v>1157</v>
      </c>
    </row>
    <row r="155" spans="1:13" ht="15.95" customHeight="1">
      <c r="G155" s="26"/>
      <c r="H155" s="51" t="s">
        <v>741</v>
      </c>
      <c r="I155" s="407">
        <v>43172</v>
      </c>
      <c r="J155" s="473" t="s">
        <v>1074</v>
      </c>
      <c r="K155" s="486">
        <v>0</v>
      </c>
      <c r="L155" s="86" t="s">
        <v>17</v>
      </c>
      <c r="M155" s="394"/>
    </row>
    <row r="156" spans="1:13" ht="15.95" customHeight="1">
      <c r="G156" s="26"/>
      <c r="H156" s="169" t="s">
        <v>516</v>
      </c>
      <c r="I156" s="387">
        <v>43171</v>
      </c>
      <c r="J156" s="460" t="s">
        <v>581</v>
      </c>
      <c r="K156" s="485">
        <v>2</v>
      </c>
      <c r="L156" s="77" t="s">
        <v>17</v>
      </c>
      <c r="M156" s="394"/>
    </row>
    <row r="157" spans="1:13" ht="15.95" customHeight="1">
      <c r="G157" s="26"/>
      <c r="H157" s="169" t="s">
        <v>495</v>
      </c>
      <c r="I157" s="393">
        <v>43157</v>
      </c>
      <c r="J157" s="460" t="s">
        <v>1063</v>
      </c>
      <c r="K157" s="484">
        <v>7</v>
      </c>
      <c r="L157" s="243" t="s">
        <v>1134</v>
      </c>
      <c r="M157" s="396"/>
    </row>
    <row r="158" spans="1:13" ht="15.95" customHeight="1">
      <c r="G158" s="26"/>
      <c r="H158" s="169" t="s">
        <v>744</v>
      </c>
      <c r="I158" s="387">
        <v>42716</v>
      </c>
      <c r="J158" s="461" t="s">
        <v>538</v>
      </c>
      <c r="K158" s="483">
        <v>1</v>
      </c>
      <c r="L158" s="242" t="s">
        <v>17</v>
      </c>
      <c r="M158" s="415"/>
    </row>
    <row r="159" spans="1:13" ht="15.95" customHeight="1">
      <c r="G159" s="26"/>
      <c r="H159" s="123" t="s">
        <v>767</v>
      </c>
      <c r="I159" s="389">
        <v>43164</v>
      </c>
      <c r="J159" s="460" t="s">
        <v>881</v>
      </c>
      <c r="K159" s="488">
        <v>1</v>
      </c>
      <c r="L159" s="244" t="s">
        <v>17</v>
      </c>
      <c r="M159" s="406"/>
    </row>
    <row r="160" spans="1:13" ht="15.95" customHeight="1">
      <c r="G160" s="26"/>
      <c r="H160" s="249" t="s">
        <v>454</v>
      </c>
      <c r="I160" s="387">
        <v>43164</v>
      </c>
      <c r="J160" s="460" t="s">
        <v>1293</v>
      </c>
      <c r="K160" s="485">
        <v>2</v>
      </c>
      <c r="L160" s="77" t="s">
        <v>17</v>
      </c>
      <c r="M160" s="394"/>
    </row>
    <row r="161" spans="1:13" ht="15.95" customHeight="1">
      <c r="G161" s="26"/>
      <c r="H161" s="51" t="s">
        <v>742</v>
      </c>
      <c r="I161" s="407">
        <v>43164</v>
      </c>
      <c r="J161" s="473" t="s">
        <v>1293</v>
      </c>
      <c r="K161" s="251">
        <v>0</v>
      </c>
      <c r="L161" s="86" t="s">
        <v>17</v>
      </c>
      <c r="M161" s="394"/>
    </row>
    <row r="162" spans="1:13" ht="15.95" customHeight="1">
      <c r="G162" s="26"/>
      <c r="H162" s="169" t="s">
        <v>371</v>
      </c>
      <c r="I162" s="387">
        <v>43164</v>
      </c>
      <c r="J162" s="460" t="s">
        <v>1294</v>
      </c>
      <c r="K162" s="254">
        <v>16</v>
      </c>
      <c r="L162" s="77" t="s">
        <v>17</v>
      </c>
      <c r="M162" s="394"/>
    </row>
    <row r="163" spans="1:13" ht="15.95" customHeight="1">
      <c r="G163" s="26"/>
      <c r="H163" s="169" t="s">
        <v>565</v>
      </c>
      <c r="I163" s="387">
        <v>42716</v>
      </c>
      <c r="J163" s="461" t="s">
        <v>541</v>
      </c>
      <c r="K163" s="483">
        <v>1</v>
      </c>
      <c r="L163" s="242" t="s">
        <v>17</v>
      </c>
      <c r="M163" s="410" t="s">
        <v>661</v>
      </c>
    </row>
    <row r="164" spans="1:13" ht="15.95" customHeight="1">
      <c r="G164" s="26"/>
      <c r="H164" s="249" t="s">
        <v>518</v>
      </c>
      <c r="I164" s="389">
        <v>42499</v>
      </c>
      <c r="J164" s="461" t="s">
        <v>413</v>
      </c>
      <c r="K164" s="483">
        <v>19</v>
      </c>
      <c r="L164" s="243" t="s">
        <v>1160</v>
      </c>
      <c r="M164" s="415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9" t="s">
        <v>1</v>
      </c>
      <c r="B169" s="316" t="s">
        <v>144</v>
      </c>
      <c r="C169" s="245" t="s">
        <v>63</v>
      </c>
      <c r="D169" s="229" t="s">
        <v>112</v>
      </c>
      <c r="E169" s="385"/>
      <c r="F169" s="269" t="s">
        <v>113</v>
      </c>
      <c r="H169" s="229" t="s">
        <v>1</v>
      </c>
      <c r="I169" s="316" t="s">
        <v>144</v>
      </c>
      <c r="J169" s="245" t="s">
        <v>63</v>
      </c>
      <c r="K169" s="229" t="s">
        <v>112</v>
      </c>
      <c r="L169" s="385"/>
      <c r="M169" s="269" t="s">
        <v>113</v>
      </c>
    </row>
    <row r="170" spans="1:13" ht="15.95" customHeight="1">
      <c r="A170" s="169" t="s">
        <v>206</v>
      </c>
      <c r="B170" s="395">
        <v>43168</v>
      </c>
      <c r="C170" s="466" t="s">
        <v>824</v>
      </c>
      <c r="D170" s="485">
        <v>20</v>
      </c>
      <c r="E170" s="77" t="s">
        <v>17</v>
      </c>
      <c r="F170" s="388"/>
      <c r="G170" s="26"/>
      <c r="H170" s="85" t="s">
        <v>788</v>
      </c>
      <c r="I170" s="399">
        <v>43124</v>
      </c>
      <c r="J170" s="468" t="s">
        <v>1018</v>
      </c>
      <c r="K170" s="486">
        <v>0</v>
      </c>
      <c r="L170" s="86" t="s">
        <v>17</v>
      </c>
      <c r="M170" s="388" t="s">
        <v>964</v>
      </c>
    </row>
    <row r="171" spans="1:13" ht="15.95" customHeight="1">
      <c r="A171" s="123" t="s">
        <v>767</v>
      </c>
      <c r="B171" s="387">
        <v>41977</v>
      </c>
      <c r="C171" s="460" t="s">
        <v>180</v>
      </c>
      <c r="D171" s="483">
        <v>6</v>
      </c>
      <c r="E171" s="243" t="s">
        <v>1134</v>
      </c>
      <c r="F171" s="405"/>
      <c r="G171" s="26"/>
      <c r="H171" s="123" t="s">
        <v>715</v>
      </c>
      <c r="I171" s="395">
        <v>43124</v>
      </c>
      <c r="J171" s="460" t="s">
        <v>1018</v>
      </c>
      <c r="K171" s="485">
        <v>52</v>
      </c>
      <c r="L171" s="77" t="s">
        <v>17</v>
      </c>
      <c r="M171" s="394"/>
    </row>
    <row r="172" spans="1:13" ht="15.95" customHeight="1">
      <c r="A172" s="169" t="s">
        <v>836</v>
      </c>
      <c r="B172" s="387">
        <v>41885</v>
      </c>
      <c r="C172" s="460" t="s">
        <v>173</v>
      </c>
      <c r="D172" s="485">
        <v>15</v>
      </c>
      <c r="E172" s="77" t="s">
        <v>18</v>
      </c>
      <c r="F172" s="388" t="s">
        <v>1156</v>
      </c>
      <c r="G172" s="26"/>
      <c r="H172" s="169" t="s">
        <v>476</v>
      </c>
      <c r="I172" s="395">
        <v>43200</v>
      </c>
      <c r="J172" s="466" t="s">
        <v>1018</v>
      </c>
      <c r="K172" s="485">
        <v>52</v>
      </c>
      <c r="L172" s="77" t="s">
        <v>17</v>
      </c>
      <c r="M172" s="388"/>
    </row>
    <row r="173" spans="1:13" ht="15.95" customHeight="1">
      <c r="A173" s="169" t="s">
        <v>206</v>
      </c>
      <c r="B173" s="395">
        <v>43168</v>
      </c>
      <c r="C173" s="466" t="s">
        <v>908</v>
      </c>
      <c r="D173" s="485">
        <v>4</v>
      </c>
      <c r="E173" s="77" t="s">
        <v>17</v>
      </c>
      <c r="F173" s="388"/>
      <c r="G173" s="26"/>
      <c r="H173" s="123" t="s">
        <v>519</v>
      </c>
      <c r="I173" s="395">
        <v>43124</v>
      </c>
      <c r="J173" s="460" t="s">
        <v>1018</v>
      </c>
      <c r="K173" s="485">
        <v>52</v>
      </c>
      <c r="L173" s="77" t="s">
        <v>17</v>
      </c>
      <c r="M173" s="394"/>
    </row>
    <row r="174" spans="1:13" ht="15.95" customHeight="1">
      <c r="A174" s="123" t="s">
        <v>525</v>
      </c>
      <c r="B174" s="395">
        <v>43054</v>
      </c>
      <c r="C174" s="462" t="s">
        <v>908</v>
      </c>
      <c r="D174" s="485">
        <v>1</v>
      </c>
      <c r="E174" s="77" t="s">
        <v>17</v>
      </c>
      <c r="F174" s="394"/>
      <c r="G174" s="26"/>
      <c r="H174" s="169" t="s">
        <v>502</v>
      </c>
      <c r="I174" s="395">
        <v>43200</v>
      </c>
      <c r="J174" s="466" t="s">
        <v>1018</v>
      </c>
      <c r="K174" s="485">
        <v>78</v>
      </c>
      <c r="L174" s="77" t="s">
        <v>17</v>
      </c>
      <c r="M174" s="388"/>
    </row>
    <row r="175" spans="1:13" ht="15.95" customHeight="1">
      <c r="A175" s="249" t="s">
        <v>454</v>
      </c>
      <c r="B175" s="387">
        <v>43166</v>
      </c>
      <c r="C175" s="460" t="s">
        <v>937</v>
      </c>
      <c r="D175" s="485">
        <v>1</v>
      </c>
      <c r="E175" s="77" t="s">
        <v>17</v>
      </c>
      <c r="F175" s="394"/>
      <c r="G175" s="26"/>
      <c r="H175" s="123" t="s">
        <v>767</v>
      </c>
      <c r="I175" s="395">
        <v>43124</v>
      </c>
      <c r="J175" s="460" t="s">
        <v>1018</v>
      </c>
      <c r="K175" s="485">
        <v>11</v>
      </c>
      <c r="L175" s="77" t="s">
        <v>17</v>
      </c>
      <c r="M175" s="394"/>
    </row>
    <row r="176" spans="1:13" ht="15.95" customHeight="1">
      <c r="A176" s="51" t="s">
        <v>742</v>
      </c>
      <c r="B176" s="407">
        <v>43166</v>
      </c>
      <c r="C176" s="473" t="s">
        <v>937</v>
      </c>
      <c r="D176" s="251">
        <v>0</v>
      </c>
      <c r="E176" s="86" t="s">
        <v>17</v>
      </c>
      <c r="F176" s="394"/>
      <c r="G176" s="26"/>
      <c r="H176" s="123" t="s">
        <v>591</v>
      </c>
      <c r="I176" s="395">
        <v>43124</v>
      </c>
      <c r="J176" s="460" t="s">
        <v>1018</v>
      </c>
      <c r="K176" s="485">
        <v>52</v>
      </c>
      <c r="L176" s="77" t="s">
        <v>17</v>
      </c>
      <c r="M176" s="394"/>
    </row>
    <row r="177" spans="1:13" ht="15.95" customHeight="1">
      <c r="A177" s="169" t="s">
        <v>589</v>
      </c>
      <c r="B177" s="387">
        <v>41450</v>
      </c>
      <c r="C177" s="461" t="s">
        <v>78</v>
      </c>
      <c r="D177" s="483">
        <v>5</v>
      </c>
      <c r="E177" s="237" t="s">
        <v>14</v>
      </c>
      <c r="F177" s="418"/>
      <c r="G177" s="26"/>
      <c r="H177" s="169" t="s">
        <v>119</v>
      </c>
      <c r="I177" s="395">
        <v>43124</v>
      </c>
      <c r="J177" s="460" t="s">
        <v>1018</v>
      </c>
      <c r="K177" s="485">
        <v>52</v>
      </c>
      <c r="L177" s="77" t="s">
        <v>17</v>
      </c>
      <c r="M177" s="394"/>
    </row>
    <row r="178" spans="1:13" ht="15.95" customHeight="1">
      <c r="A178" s="169" t="s">
        <v>721</v>
      </c>
      <c r="B178" s="393">
        <v>42920</v>
      </c>
      <c r="C178" s="460" t="s">
        <v>714</v>
      </c>
      <c r="D178" s="247">
        <v>17</v>
      </c>
      <c r="E178" s="239" t="s">
        <v>14</v>
      </c>
      <c r="F178" s="394"/>
      <c r="G178" s="26"/>
      <c r="H178" s="249" t="s">
        <v>628</v>
      </c>
      <c r="I178" s="395">
        <v>43124</v>
      </c>
      <c r="J178" s="460" t="s">
        <v>1018</v>
      </c>
      <c r="K178" s="485">
        <v>52</v>
      </c>
      <c r="L178" s="77" t="s">
        <v>17</v>
      </c>
      <c r="M178" s="394"/>
    </row>
    <row r="179" spans="1:13" ht="15.95" customHeight="1">
      <c r="A179" s="169" t="s">
        <v>139</v>
      </c>
      <c r="B179" s="393">
        <v>42920</v>
      </c>
      <c r="C179" s="460" t="s">
        <v>713</v>
      </c>
      <c r="D179" s="484">
        <v>32</v>
      </c>
      <c r="E179" s="239" t="s">
        <v>14</v>
      </c>
      <c r="F179" s="394"/>
      <c r="G179" s="26"/>
      <c r="H179" s="249" t="s">
        <v>1135</v>
      </c>
      <c r="I179" s="395">
        <v>43200</v>
      </c>
      <c r="J179" s="466" t="s">
        <v>1018</v>
      </c>
      <c r="K179" s="485">
        <v>78</v>
      </c>
      <c r="L179" s="77" t="s">
        <v>17</v>
      </c>
      <c r="M179" s="388"/>
    </row>
    <row r="180" spans="1:13" ht="15.95" customHeight="1">
      <c r="A180" s="169" t="s">
        <v>115</v>
      </c>
      <c r="B180" s="387">
        <v>41627</v>
      </c>
      <c r="C180" s="461" t="s">
        <v>96</v>
      </c>
      <c r="D180" s="483">
        <v>2</v>
      </c>
      <c r="E180" s="237" t="s">
        <v>45</v>
      </c>
      <c r="F180" s="410" t="s">
        <v>219</v>
      </c>
      <c r="G180" s="26"/>
      <c r="H180" s="249" t="s">
        <v>1136</v>
      </c>
      <c r="I180" s="395">
        <v>43200</v>
      </c>
      <c r="J180" s="466" t="s">
        <v>1018</v>
      </c>
      <c r="K180" s="485">
        <v>78</v>
      </c>
      <c r="L180" s="77" t="s">
        <v>17</v>
      </c>
      <c r="M180" s="388"/>
    </row>
    <row r="181" spans="1:13" ht="15.95" customHeight="1">
      <c r="A181" s="15" t="s">
        <v>808</v>
      </c>
      <c r="B181" s="395">
        <v>43168</v>
      </c>
      <c r="C181" s="466" t="s">
        <v>950</v>
      </c>
      <c r="D181" s="485">
        <v>5</v>
      </c>
      <c r="E181" s="77" t="s">
        <v>17</v>
      </c>
      <c r="F181" s="394"/>
      <c r="G181" s="26"/>
      <c r="H181" s="249" t="s">
        <v>1137</v>
      </c>
      <c r="I181" s="395">
        <v>43200</v>
      </c>
      <c r="J181" s="466" t="s">
        <v>1018</v>
      </c>
      <c r="K181" s="485">
        <v>78</v>
      </c>
      <c r="L181" s="77" t="s">
        <v>17</v>
      </c>
      <c r="M181" s="388"/>
    </row>
    <row r="182" spans="1:13" ht="15.95" customHeight="1">
      <c r="A182" s="169" t="s">
        <v>568</v>
      </c>
      <c r="B182" s="395">
        <v>43154</v>
      </c>
      <c r="C182" s="466" t="s">
        <v>1055</v>
      </c>
      <c r="D182" s="485">
        <v>6</v>
      </c>
      <c r="E182" s="77" t="s">
        <v>17</v>
      </c>
      <c r="F182" s="388"/>
      <c r="G182" s="26"/>
      <c r="H182" s="249" t="s">
        <v>1138</v>
      </c>
      <c r="I182" s="395">
        <v>43200</v>
      </c>
      <c r="J182" s="466" t="s">
        <v>1018</v>
      </c>
      <c r="K182" s="485">
        <v>78</v>
      </c>
      <c r="L182" s="77" t="s">
        <v>17</v>
      </c>
      <c r="M182" s="388"/>
    </row>
    <row r="183" spans="1:13" ht="15.95" customHeight="1">
      <c r="A183" s="169" t="s">
        <v>379</v>
      </c>
      <c r="B183" s="393" t="s">
        <v>835</v>
      </c>
      <c r="C183" s="460" t="s">
        <v>1055</v>
      </c>
      <c r="D183" s="484">
        <v>1</v>
      </c>
      <c r="E183" s="239" t="s">
        <v>17</v>
      </c>
      <c r="F183" s="396" t="s">
        <v>1083</v>
      </c>
      <c r="G183" s="26"/>
      <c r="H183" s="249" t="s">
        <v>1139</v>
      </c>
      <c r="I183" s="395">
        <v>43200</v>
      </c>
      <c r="J183" s="466" t="s">
        <v>1018</v>
      </c>
      <c r="K183" s="485">
        <v>77</v>
      </c>
      <c r="L183" s="77" t="s">
        <v>17</v>
      </c>
      <c r="M183" s="388"/>
    </row>
    <row r="184" spans="1:13" ht="15.95" customHeight="1">
      <c r="A184" s="249" t="s">
        <v>534</v>
      </c>
      <c r="B184" s="395">
        <v>43157</v>
      </c>
      <c r="C184" s="466" t="s">
        <v>297</v>
      </c>
      <c r="D184" s="485">
        <v>2</v>
      </c>
      <c r="E184" s="77" t="s">
        <v>17</v>
      </c>
      <c r="F184" s="388"/>
      <c r="G184" s="26"/>
      <c r="H184" s="249" t="s">
        <v>1140</v>
      </c>
      <c r="I184" s="395">
        <v>43200</v>
      </c>
      <c r="J184" s="466" t="s">
        <v>1018</v>
      </c>
      <c r="K184" s="485">
        <v>78</v>
      </c>
      <c r="L184" s="77" t="s">
        <v>17</v>
      </c>
      <c r="M184" s="388"/>
    </row>
    <row r="185" spans="1:13" ht="15.95" customHeight="1">
      <c r="A185" s="169" t="s">
        <v>741</v>
      </c>
      <c r="B185" s="387">
        <v>43104</v>
      </c>
      <c r="C185" s="375" t="s">
        <v>150</v>
      </c>
      <c r="D185" s="485">
        <v>4</v>
      </c>
      <c r="E185" s="77" t="s">
        <v>14</v>
      </c>
      <c r="F185" s="394"/>
      <c r="G185" s="26"/>
      <c r="H185" s="249" t="s">
        <v>1141</v>
      </c>
      <c r="I185" s="395">
        <v>43200</v>
      </c>
      <c r="J185" s="466" t="s">
        <v>1018</v>
      </c>
      <c r="K185" s="485">
        <v>78</v>
      </c>
      <c r="L185" s="77" t="s">
        <v>17</v>
      </c>
      <c r="M185" s="388"/>
    </row>
    <row r="186" spans="1:13" ht="15.95" customHeight="1">
      <c r="A186" s="169" t="s">
        <v>192</v>
      </c>
      <c r="B186" s="387">
        <v>42013</v>
      </c>
      <c r="C186" s="461" t="s">
        <v>182</v>
      </c>
      <c r="D186" s="483">
        <v>6</v>
      </c>
      <c r="E186" s="237" t="s">
        <v>17</v>
      </c>
      <c r="F186" s="410" t="s">
        <v>240</v>
      </c>
      <c r="G186" s="26"/>
      <c r="H186" s="249" t="s">
        <v>1142</v>
      </c>
      <c r="I186" s="395">
        <v>43200</v>
      </c>
      <c r="J186" s="466" t="s">
        <v>1018</v>
      </c>
      <c r="K186" s="485">
        <v>78</v>
      </c>
      <c r="L186" s="77" t="s">
        <v>17</v>
      </c>
      <c r="M186" s="388"/>
    </row>
    <row r="187" spans="1:13" ht="15.95" customHeight="1">
      <c r="A187" s="249" t="s">
        <v>657</v>
      </c>
      <c r="B187" s="387">
        <v>43188</v>
      </c>
      <c r="C187" s="460" t="s">
        <v>1087</v>
      </c>
      <c r="D187" s="485">
        <v>1</v>
      </c>
      <c r="E187" s="77" t="s">
        <v>17</v>
      </c>
      <c r="F187" s="394" t="s">
        <v>1152</v>
      </c>
      <c r="G187" s="26"/>
      <c r="H187" s="249" t="s">
        <v>1143</v>
      </c>
      <c r="I187" s="395">
        <v>43200</v>
      </c>
      <c r="J187" s="466" t="s">
        <v>1018</v>
      </c>
      <c r="K187" s="485">
        <v>78</v>
      </c>
      <c r="L187" s="77" t="s">
        <v>17</v>
      </c>
      <c r="M187" s="388"/>
    </row>
    <row r="188" spans="1:13" ht="15.95" customHeight="1">
      <c r="A188" s="169" t="s">
        <v>748</v>
      </c>
      <c r="B188" s="395">
        <v>43146</v>
      </c>
      <c r="C188" s="460" t="s">
        <v>1035</v>
      </c>
      <c r="D188" s="485">
        <v>24</v>
      </c>
      <c r="E188" s="77" t="s">
        <v>17</v>
      </c>
      <c r="F188" s="388"/>
      <c r="G188" s="26"/>
      <c r="H188" s="249" t="s">
        <v>1144</v>
      </c>
      <c r="I188" s="395">
        <v>43200</v>
      </c>
      <c r="J188" s="466" t="s">
        <v>1018</v>
      </c>
      <c r="K188" s="485">
        <v>78</v>
      </c>
      <c r="L188" s="77" t="s">
        <v>17</v>
      </c>
      <c r="M188" s="388"/>
    </row>
    <row r="189" spans="1:13" ht="15.95" customHeight="1">
      <c r="A189" s="249" t="s">
        <v>453</v>
      </c>
      <c r="B189" s="395">
        <v>43146</v>
      </c>
      <c r="C189" s="466" t="s">
        <v>1036</v>
      </c>
      <c r="D189" s="485">
        <v>2</v>
      </c>
      <c r="E189" s="77" t="s">
        <v>17</v>
      </c>
      <c r="F189" s="388"/>
      <c r="G189" s="26"/>
      <c r="H189" s="249" t="s">
        <v>1031</v>
      </c>
      <c r="I189" s="395">
        <v>43200</v>
      </c>
      <c r="J189" s="466" t="s">
        <v>1018</v>
      </c>
      <c r="K189" s="485">
        <v>78</v>
      </c>
      <c r="L189" s="77" t="s">
        <v>17</v>
      </c>
      <c r="M189" s="388"/>
    </row>
    <row r="190" spans="1:13" ht="15.95" customHeight="1">
      <c r="A190" s="51" t="s">
        <v>450</v>
      </c>
      <c r="B190" s="399">
        <v>43146</v>
      </c>
      <c r="C190" s="468" t="s">
        <v>1036</v>
      </c>
      <c r="D190" s="486">
        <v>0</v>
      </c>
      <c r="E190" s="86" t="s">
        <v>17</v>
      </c>
      <c r="F190" s="388"/>
      <c r="G190" s="26"/>
      <c r="H190" s="249" t="s">
        <v>1145</v>
      </c>
      <c r="I190" s="395">
        <v>43200</v>
      </c>
      <c r="J190" s="466" t="s">
        <v>1018</v>
      </c>
      <c r="K190" s="485">
        <v>78</v>
      </c>
      <c r="L190" s="77" t="s">
        <v>17</v>
      </c>
      <c r="M190" s="388"/>
    </row>
    <row r="191" spans="1:13" ht="15.95" customHeight="1">
      <c r="A191" s="169" t="s">
        <v>768</v>
      </c>
      <c r="B191" s="395">
        <v>43146</v>
      </c>
      <c r="C191" s="460" t="s">
        <v>1037</v>
      </c>
      <c r="D191" s="485">
        <v>24</v>
      </c>
      <c r="E191" s="77" t="s">
        <v>17</v>
      </c>
      <c r="F191" s="388"/>
      <c r="G191" s="26"/>
      <c r="H191" s="133" t="s">
        <v>969</v>
      </c>
      <c r="I191" s="387">
        <v>43140</v>
      </c>
      <c r="J191" s="460" t="s">
        <v>1045</v>
      </c>
      <c r="K191" s="483">
        <v>54</v>
      </c>
      <c r="L191" s="237" t="s">
        <v>14</v>
      </c>
      <c r="M191" s="436" t="s">
        <v>1065</v>
      </c>
    </row>
    <row r="192" spans="1:13" ht="15.95" customHeight="1">
      <c r="A192" s="169" t="s">
        <v>820</v>
      </c>
      <c r="B192" s="395">
        <v>43146</v>
      </c>
      <c r="C192" s="460" t="s">
        <v>1038</v>
      </c>
      <c r="D192" s="485">
        <v>10</v>
      </c>
      <c r="E192" s="77" t="s">
        <v>17</v>
      </c>
      <c r="F192" s="388"/>
      <c r="G192" s="26"/>
      <c r="H192" s="133" t="s">
        <v>968</v>
      </c>
      <c r="I192" s="387">
        <v>43140</v>
      </c>
      <c r="J192" s="460" t="s">
        <v>1047</v>
      </c>
      <c r="K192" s="483">
        <v>54</v>
      </c>
      <c r="L192" s="237" t="s">
        <v>14</v>
      </c>
      <c r="M192" s="436" t="s">
        <v>1065</v>
      </c>
    </row>
    <row r="193" spans="1:13" ht="15.95" customHeight="1">
      <c r="A193" s="169" t="s">
        <v>840</v>
      </c>
      <c r="B193" s="414">
        <v>41885</v>
      </c>
      <c r="C193" s="460" t="s">
        <v>179</v>
      </c>
      <c r="D193" s="483">
        <v>26</v>
      </c>
      <c r="E193" s="241" t="s">
        <v>18</v>
      </c>
      <c r="F193" s="388"/>
      <c r="G193" s="26"/>
      <c r="H193" s="133" t="s">
        <v>970</v>
      </c>
      <c r="I193" s="387">
        <v>43140</v>
      </c>
      <c r="J193" s="460" t="s">
        <v>1048</v>
      </c>
      <c r="K193" s="483">
        <v>54</v>
      </c>
      <c r="L193" s="237" t="s">
        <v>14</v>
      </c>
      <c r="M193" s="436" t="s">
        <v>1065</v>
      </c>
    </row>
    <row r="194" spans="1:13" ht="15.95" customHeight="1">
      <c r="A194" s="133" t="s">
        <v>527</v>
      </c>
      <c r="B194" s="387">
        <v>41885</v>
      </c>
      <c r="C194" s="460" t="s">
        <v>179</v>
      </c>
      <c r="D194" s="483">
        <v>20</v>
      </c>
      <c r="E194" s="237" t="s">
        <v>18</v>
      </c>
      <c r="F194" s="388"/>
      <c r="G194" s="26"/>
      <c r="H194" s="249" t="s">
        <v>1085</v>
      </c>
      <c r="I194" s="395">
        <v>43140</v>
      </c>
      <c r="J194" s="466" t="s">
        <v>1046</v>
      </c>
      <c r="K194" s="485">
        <v>39</v>
      </c>
      <c r="L194" s="77" t="s">
        <v>14</v>
      </c>
      <c r="M194" s="388" t="s">
        <v>1065</v>
      </c>
    </row>
    <row r="195" spans="1:13" ht="15.95" customHeight="1">
      <c r="A195" s="133" t="s">
        <v>842</v>
      </c>
      <c r="B195" s="387">
        <v>41885</v>
      </c>
      <c r="C195" s="461" t="s">
        <v>179</v>
      </c>
      <c r="D195" s="483">
        <v>1</v>
      </c>
      <c r="E195" s="238" t="s">
        <v>18</v>
      </c>
      <c r="F195" s="429" t="s">
        <v>812</v>
      </c>
      <c r="G195" s="26"/>
      <c r="H195" s="252" t="s">
        <v>972</v>
      </c>
      <c r="I195" s="407">
        <v>43140</v>
      </c>
      <c r="J195" s="473" t="s">
        <v>1049</v>
      </c>
      <c r="K195" s="492">
        <v>0</v>
      </c>
      <c r="L195" s="437" t="s">
        <v>14</v>
      </c>
      <c r="M195" s="436" t="s">
        <v>1065</v>
      </c>
    </row>
    <row r="196" spans="1:13" ht="15.95" customHeight="1">
      <c r="A196" s="261" t="s">
        <v>718</v>
      </c>
      <c r="B196" s="430"/>
      <c r="C196" s="476" t="s">
        <v>546</v>
      </c>
      <c r="D196" s="490">
        <v>1</v>
      </c>
      <c r="E196" s="431" t="s">
        <v>268</v>
      </c>
      <c r="F196" s="432"/>
      <c r="G196" s="26"/>
      <c r="H196" s="169" t="s">
        <v>836</v>
      </c>
      <c r="I196" s="414">
        <v>42758</v>
      </c>
      <c r="J196" s="471" t="s">
        <v>573</v>
      </c>
      <c r="K196" s="483">
        <v>0.5</v>
      </c>
      <c r="L196" s="241" t="s">
        <v>14</v>
      </c>
      <c r="M196" s="436" t="s">
        <v>1171</v>
      </c>
    </row>
    <row r="197" spans="1:13" ht="15.95" customHeight="1">
      <c r="A197" s="261" t="s">
        <v>465</v>
      </c>
      <c r="B197" s="430"/>
      <c r="C197" s="476" t="s">
        <v>546</v>
      </c>
      <c r="D197" s="490">
        <v>1</v>
      </c>
      <c r="E197" s="431" t="s">
        <v>268</v>
      </c>
      <c r="F197" s="432"/>
      <c r="G197" s="26"/>
      <c r="H197" s="133" t="s">
        <v>872</v>
      </c>
      <c r="I197" s="387">
        <v>43188</v>
      </c>
      <c r="J197" s="460" t="s">
        <v>1093</v>
      </c>
      <c r="K197" s="483">
        <v>54</v>
      </c>
      <c r="L197" s="237" t="s">
        <v>14</v>
      </c>
      <c r="M197" s="436" t="s">
        <v>1129</v>
      </c>
    </row>
    <row r="198" spans="1:13" ht="15.95" customHeight="1">
      <c r="A198" s="261" t="s">
        <v>709</v>
      </c>
      <c r="B198" s="430"/>
      <c r="C198" s="476" t="s">
        <v>546</v>
      </c>
      <c r="D198" s="490">
        <v>1</v>
      </c>
      <c r="E198" s="431" t="s">
        <v>268</v>
      </c>
      <c r="F198" s="432"/>
      <c r="G198" s="26"/>
      <c r="H198" s="133" t="s">
        <v>871</v>
      </c>
      <c r="I198" s="387">
        <v>43188</v>
      </c>
      <c r="J198" s="460" t="s">
        <v>1095</v>
      </c>
      <c r="K198" s="483">
        <v>54</v>
      </c>
      <c r="L198" s="237" t="s">
        <v>14</v>
      </c>
      <c r="M198" s="436" t="s">
        <v>1129</v>
      </c>
    </row>
    <row r="199" spans="1:13" ht="15.95" customHeight="1">
      <c r="A199" s="261" t="s">
        <v>466</v>
      </c>
      <c r="B199" s="430"/>
      <c r="C199" s="476" t="s">
        <v>546</v>
      </c>
      <c r="D199" s="490">
        <v>1</v>
      </c>
      <c r="E199" s="431" t="s">
        <v>268</v>
      </c>
      <c r="F199" s="432"/>
      <c r="G199" s="26"/>
      <c r="H199" s="133" t="s">
        <v>508</v>
      </c>
      <c r="I199" s="387">
        <v>43188</v>
      </c>
      <c r="J199" s="460" t="s">
        <v>1098</v>
      </c>
      <c r="K199" s="483">
        <v>56</v>
      </c>
      <c r="L199" s="237" t="s">
        <v>14</v>
      </c>
      <c r="M199" s="436" t="s">
        <v>1129</v>
      </c>
    </row>
    <row r="200" spans="1:13" ht="15.95" customHeight="1">
      <c r="A200" s="261" t="s">
        <v>878</v>
      </c>
      <c r="B200" s="430"/>
      <c r="C200" s="476" t="s">
        <v>546</v>
      </c>
      <c r="D200" s="490">
        <v>1</v>
      </c>
      <c r="E200" s="431" t="s">
        <v>268</v>
      </c>
      <c r="F200" s="432"/>
      <c r="G200" s="26"/>
      <c r="H200" s="133" t="s">
        <v>874</v>
      </c>
      <c r="I200" s="387">
        <v>43188</v>
      </c>
      <c r="J200" s="460" t="s">
        <v>1092</v>
      </c>
      <c r="K200" s="483">
        <v>54</v>
      </c>
      <c r="L200" s="237" t="s">
        <v>14</v>
      </c>
      <c r="M200" s="436" t="s">
        <v>1129</v>
      </c>
    </row>
    <row r="201" spans="1:13" ht="15.95" customHeight="1">
      <c r="A201" s="261" t="s">
        <v>719</v>
      </c>
      <c r="B201" s="430"/>
      <c r="C201" s="476" t="s">
        <v>546</v>
      </c>
      <c r="D201" s="490">
        <v>1</v>
      </c>
      <c r="E201" s="431" t="s">
        <v>268</v>
      </c>
      <c r="F201" s="432"/>
      <c r="G201" s="26"/>
      <c r="H201" s="133" t="s">
        <v>873</v>
      </c>
      <c r="I201" s="387">
        <v>43188</v>
      </c>
      <c r="J201" s="460" t="s">
        <v>1094</v>
      </c>
      <c r="K201" s="483">
        <v>54</v>
      </c>
      <c r="L201" s="237" t="s">
        <v>14</v>
      </c>
      <c r="M201" s="436" t="s">
        <v>1129</v>
      </c>
    </row>
    <row r="202" spans="1:13" ht="15.95" customHeight="1">
      <c r="A202" s="261" t="s">
        <v>807</v>
      </c>
      <c r="B202" s="430"/>
      <c r="C202" s="476" t="s">
        <v>546</v>
      </c>
      <c r="D202" s="490">
        <v>1</v>
      </c>
      <c r="E202" s="431" t="s">
        <v>268</v>
      </c>
      <c r="F202" s="432"/>
      <c r="G202" s="26"/>
      <c r="H202" s="133" t="s">
        <v>806</v>
      </c>
      <c r="I202" s="387">
        <v>43188</v>
      </c>
      <c r="J202" s="460" t="s">
        <v>1096</v>
      </c>
      <c r="K202" s="483">
        <v>54</v>
      </c>
      <c r="L202" s="237" t="s">
        <v>14</v>
      </c>
      <c r="M202" s="436" t="s">
        <v>1129</v>
      </c>
    </row>
    <row r="203" spans="1:13" ht="15.95" customHeight="1">
      <c r="A203" s="261" t="s">
        <v>555</v>
      </c>
      <c r="B203" s="430"/>
      <c r="C203" s="476" t="s">
        <v>546</v>
      </c>
      <c r="D203" s="490">
        <v>1</v>
      </c>
      <c r="E203" s="431" t="s">
        <v>268</v>
      </c>
      <c r="F203" s="432"/>
      <c r="G203" s="26"/>
      <c r="H203" s="133" t="s">
        <v>971</v>
      </c>
      <c r="I203" s="387">
        <v>43188</v>
      </c>
      <c r="J203" s="460" t="s">
        <v>1091</v>
      </c>
      <c r="K203" s="483">
        <v>54</v>
      </c>
      <c r="L203" s="237" t="s">
        <v>14</v>
      </c>
      <c r="M203" s="436" t="s">
        <v>1129</v>
      </c>
    </row>
    <row r="204" spans="1:13" ht="15.95" customHeight="1">
      <c r="A204" s="261" t="s">
        <v>459</v>
      </c>
      <c r="B204" s="430"/>
      <c r="C204" s="476" t="s">
        <v>546</v>
      </c>
      <c r="D204" s="490">
        <v>1</v>
      </c>
      <c r="E204" s="431" t="s">
        <v>268</v>
      </c>
      <c r="F204" s="432"/>
      <c r="G204" s="26"/>
      <c r="H204" s="133" t="s">
        <v>571</v>
      </c>
      <c r="I204" s="387">
        <v>43188</v>
      </c>
      <c r="J204" s="460" t="s">
        <v>1097</v>
      </c>
      <c r="K204" s="483">
        <v>54</v>
      </c>
      <c r="L204" s="237" t="s">
        <v>14</v>
      </c>
      <c r="M204" s="436" t="s">
        <v>1129</v>
      </c>
    </row>
    <row r="205" spans="1:13" ht="15.95" customHeight="1">
      <c r="A205" s="261" t="s">
        <v>475</v>
      </c>
      <c r="B205" s="430"/>
      <c r="C205" s="476" t="s">
        <v>546</v>
      </c>
      <c r="D205" s="490">
        <v>1</v>
      </c>
      <c r="E205" s="431" t="s">
        <v>268</v>
      </c>
      <c r="F205" s="432"/>
      <c r="G205" s="26"/>
      <c r="H205" s="123" t="s">
        <v>427</v>
      </c>
      <c r="I205" s="393">
        <v>43046</v>
      </c>
      <c r="J205" s="460" t="s">
        <v>870</v>
      </c>
      <c r="K205" s="484">
        <v>54</v>
      </c>
      <c r="L205" s="239" t="s">
        <v>14</v>
      </c>
      <c r="M205" s="438" t="s">
        <v>1012</v>
      </c>
    </row>
    <row r="206" spans="1:13" ht="15.95" customHeight="1">
      <c r="A206" s="261" t="s">
        <v>809</v>
      </c>
      <c r="B206" s="430"/>
      <c r="C206" s="476" t="s">
        <v>546</v>
      </c>
      <c r="D206" s="490">
        <v>1</v>
      </c>
      <c r="E206" s="431" t="s">
        <v>268</v>
      </c>
      <c r="F206" s="432"/>
      <c r="G206" s="26"/>
      <c r="H206" s="169" t="s">
        <v>191</v>
      </c>
      <c r="I206" s="387">
        <v>41985</v>
      </c>
      <c r="J206" s="461" t="s">
        <v>186</v>
      </c>
      <c r="K206" s="483">
        <v>11</v>
      </c>
      <c r="L206" s="237" t="s">
        <v>45</v>
      </c>
      <c r="M206" s="410" t="s">
        <v>235</v>
      </c>
    </row>
    <row r="207" spans="1:13" ht="15.95" customHeight="1">
      <c r="A207" s="261" t="s">
        <v>455</v>
      </c>
      <c r="B207" s="430"/>
      <c r="C207" s="476" t="s">
        <v>546</v>
      </c>
      <c r="D207" s="490">
        <v>1</v>
      </c>
      <c r="E207" s="431" t="s">
        <v>268</v>
      </c>
      <c r="F207" s="432"/>
      <c r="G207" s="26"/>
      <c r="H207" s="133" t="s">
        <v>650</v>
      </c>
      <c r="I207" s="387">
        <v>43188</v>
      </c>
      <c r="J207" s="460" t="s">
        <v>1108</v>
      </c>
      <c r="K207" s="483">
        <v>54</v>
      </c>
      <c r="L207" s="237" t="s">
        <v>14</v>
      </c>
      <c r="M207" s="436" t="s">
        <v>1129</v>
      </c>
    </row>
    <row r="208" spans="1:13" ht="15.95" customHeight="1">
      <c r="A208" s="261" t="s">
        <v>720</v>
      </c>
      <c r="B208" s="433"/>
      <c r="C208" s="476" t="s">
        <v>546</v>
      </c>
      <c r="D208" s="491">
        <v>1</v>
      </c>
      <c r="E208" s="431" t="s">
        <v>268</v>
      </c>
      <c r="F208" s="434"/>
      <c r="G208" s="26"/>
      <c r="H208" s="133" t="s">
        <v>1099</v>
      </c>
      <c r="I208" s="387">
        <v>43188</v>
      </c>
      <c r="J208" s="460" t="s">
        <v>1100</v>
      </c>
      <c r="K208" s="483">
        <v>54</v>
      </c>
      <c r="L208" s="237" t="s">
        <v>14</v>
      </c>
      <c r="M208" s="436" t="s">
        <v>1129</v>
      </c>
    </row>
    <row r="209" spans="1:13" ht="15.95" customHeight="1">
      <c r="A209" s="261" t="s">
        <v>632</v>
      </c>
      <c r="B209" s="433"/>
      <c r="C209" s="476" t="s">
        <v>546</v>
      </c>
      <c r="D209" s="491">
        <v>1</v>
      </c>
      <c r="E209" s="431" t="s">
        <v>268</v>
      </c>
      <c r="F209" s="434"/>
      <c r="G209" s="26"/>
      <c r="H209" s="85" t="s">
        <v>951</v>
      </c>
      <c r="I209" s="399">
        <v>43188</v>
      </c>
      <c r="J209" s="468" t="s">
        <v>1109</v>
      </c>
      <c r="K209" s="486">
        <v>0</v>
      </c>
      <c r="L209" s="86" t="s">
        <v>14</v>
      </c>
      <c r="M209" s="388" t="s">
        <v>1065</v>
      </c>
    </row>
    <row r="210" spans="1:13" ht="15.95" customHeight="1">
      <c r="A210" s="261" t="s">
        <v>349</v>
      </c>
      <c r="B210" s="433"/>
      <c r="C210" s="476" t="s">
        <v>546</v>
      </c>
      <c r="D210" s="490">
        <v>1</v>
      </c>
      <c r="E210" s="431" t="s">
        <v>268</v>
      </c>
      <c r="F210" s="432"/>
      <c r="G210" s="26"/>
      <c r="H210" s="85" t="s">
        <v>1110</v>
      </c>
      <c r="I210" s="399">
        <v>43188</v>
      </c>
      <c r="J210" s="468" t="s">
        <v>1111</v>
      </c>
      <c r="K210" s="486">
        <v>0</v>
      </c>
      <c r="L210" s="86" t="s">
        <v>14</v>
      </c>
      <c r="M210" s="388" t="s">
        <v>1065</v>
      </c>
    </row>
    <row r="211" spans="1:13" ht="15.95" customHeight="1">
      <c r="A211" s="261" t="s">
        <v>811</v>
      </c>
      <c r="B211" s="433"/>
      <c r="C211" s="476" t="s">
        <v>546</v>
      </c>
      <c r="D211" s="491">
        <v>1</v>
      </c>
      <c r="E211" s="435" t="s">
        <v>268</v>
      </c>
      <c r="F211" s="432"/>
      <c r="G211" s="26"/>
      <c r="H211" s="133" t="s">
        <v>823</v>
      </c>
      <c r="I211" s="387">
        <v>43188</v>
      </c>
      <c r="J211" s="460" t="s">
        <v>1102</v>
      </c>
      <c r="K211" s="483">
        <v>54</v>
      </c>
      <c r="L211" s="237" t="s">
        <v>14</v>
      </c>
      <c r="M211" s="436" t="s">
        <v>1129</v>
      </c>
    </row>
    <row r="212" spans="1:13" ht="15.95" customHeight="1">
      <c r="A212" s="261" t="s">
        <v>138</v>
      </c>
      <c r="B212" s="433"/>
      <c r="C212" s="476" t="s">
        <v>546</v>
      </c>
      <c r="D212" s="491">
        <v>1</v>
      </c>
      <c r="E212" s="435" t="s">
        <v>268</v>
      </c>
      <c r="F212" s="434"/>
      <c r="G212" s="26"/>
      <c r="H212" s="133" t="s">
        <v>651</v>
      </c>
      <c r="I212" s="387">
        <v>43188</v>
      </c>
      <c r="J212" s="460" t="s">
        <v>1107</v>
      </c>
      <c r="K212" s="483">
        <v>54</v>
      </c>
      <c r="L212" s="237" t="s">
        <v>14</v>
      </c>
      <c r="M212" s="436" t="s">
        <v>1129</v>
      </c>
    </row>
    <row r="213" spans="1:13" ht="15.95" customHeight="1">
      <c r="A213" s="261" t="s">
        <v>723</v>
      </c>
      <c r="B213" s="433"/>
      <c r="C213" s="476" t="s">
        <v>546</v>
      </c>
      <c r="D213" s="491">
        <v>1</v>
      </c>
      <c r="E213" s="435" t="s">
        <v>268</v>
      </c>
      <c r="F213" s="434"/>
      <c r="G213" s="26"/>
      <c r="H213" s="26"/>
      <c r="I213" s="26"/>
      <c r="J213" s="26"/>
    </row>
    <row r="214" spans="1:13" ht="15.95" customHeight="1">
      <c r="A214" s="123" t="s">
        <v>514</v>
      </c>
      <c r="B214" s="395">
        <v>43124</v>
      </c>
      <c r="C214" s="462" t="s">
        <v>906</v>
      </c>
      <c r="D214" s="485">
        <v>4</v>
      </c>
      <c r="E214" s="77" t="s">
        <v>17</v>
      </c>
      <c r="F214" s="394"/>
      <c r="G214" s="26"/>
      <c r="H214" s="26"/>
      <c r="I214" s="26"/>
      <c r="J214" s="26"/>
    </row>
    <row r="215" spans="1:13" ht="15.95" customHeight="1">
      <c r="A215" s="169" t="s">
        <v>1014</v>
      </c>
      <c r="B215" s="387">
        <v>43157</v>
      </c>
      <c r="C215" s="460" t="s">
        <v>906</v>
      </c>
      <c r="D215" s="485">
        <v>10</v>
      </c>
      <c r="E215" s="77" t="s">
        <v>17</v>
      </c>
      <c r="F215" s="394"/>
      <c r="G215" s="26"/>
      <c r="H215" s="26"/>
      <c r="I215" s="26"/>
      <c r="J215" s="26"/>
    </row>
    <row r="216" spans="1:13" ht="15.95" customHeight="1">
      <c r="A216" s="169" t="s">
        <v>114</v>
      </c>
      <c r="B216" s="395">
        <v>43200</v>
      </c>
      <c r="C216" s="466" t="s">
        <v>1018</v>
      </c>
      <c r="D216" s="485">
        <v>38</v>
      </c>
      <c r="E216" s="77" t="s">
        <v>17</v>
      </c>
      <c r="F216" s="388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9" t="s">
        <v>1</v>
      </c>
      <c r="B225" s="316" t="s">
        <v>144</v>
      </c>
      <c r="C225" s="245" t="s">
        <v>63</v>
      </c>
      <c r="D225" s="229" t="s">
        <v>112</v>
      </c>
      <c r="E225" s="385"/>
      <c r="F225" s="269" t="s">
        <v>113</v>
      </c>
      <c r="H225" s="229" t="s">
        <v>1</v>
      </c>
      <c r="I225" s="316" t="s">
        <v>144</v>
      </c>
      <c r="J225" s="245" t="s">
        <v>63</v>
      </c>
      <c r="K225" s="229" t="s">
        <v>112</v>
      </c>
      <c r="L225" s="385"/>
      <c r="M225" s="269" t="s">
        <v>113</v>
      </c>
    </row>
    <row r="226" spans="1:13" ht="15.95" customHeight="1">
      <c r="A226" s="133" t="s">
        <v>1105</v>
      </c>
      <c r="B226" s="387">
        <v>43188</v>
      </c>
      <c r="C226" s="460" t="s">
        <v>1106</v>
      </c>
      <c r="D226" s="483">
        <v>54</v>
      </c>
      <c r="E226" s="237" t="s">
        <v>14</v>
      </c>
      <c r="F226" s="436" t="s">
        <v>1129</v>
      </c>
      <c r="G226" s="26"/>
      <c r="H226" s="51" t="s">
        <v>618</v>
      </c>
      <c r="I226" s="407">
        <v>43158</v>
      </c>
      <c r="J226" s="473" t="s">
        <v>292</v>
      </c>
      <c r="K226" s="486">
        <v>0</v>
      </c>
      <c r="L226" s="86" t="s">
        <v>17</v>
      </c>
      <c r="M226" s="394"/>
    </row>
    <row r="227" spans="1:13" ht="15.95" customHeight="1">
      <c r="A227" s="133" t="s">
        <v>966</v>
      </c>
      <c r="B227" s="387">
        <v>43188</v>
      </c>
      <c r="C227" s="460" t="s">
        <v>1101</v>
      </c>
      <c r="D227" s="483">
        <v>54</v>
      </c>
      <c r="E227" s="237" t="s">
        <v>14</v>
      </c>
      <c r="F227" s="436" t="s">
        <v>1129</v>
      </c>
      <c r="G227" s="26"/>
      <c r="H227" s="169" t="s">
        <v>618</v>
      </c>
      <c r="I227" s="395">
        <v>43193</v>
      </c>
      <c r="J227" s="466" t="s">
        <v>292</v>
      </c>
      <c r="K227" s="485">
        <v>64</v>
      </c>
      <c r="L227" s="77" t="s">
        <v>17</v>
      </c>
      <c r="M227" s="388"/>
    </row>
    <row r="228" spans="1:13" ht="15.95" customHeight="1">
      <c r="A228" s="133" t="s">
        <v>1103</v>
      </c>
      <c r="B228" s="387">
        <v>43188</v>
      </c>
      <c r="C228" s="460" t="s">
        <v>1104</v>
      </c>
      <c r="D228" s="483">
        <v>54</v>
      </c>
      <c r="E228" s="237" t="s">
        <v>14</v>
      </c>
      <c r="F228" s="436" t="s">
        <v>1129</v>
      </c>
      <c r="G228" s="26"/>
      <c r="H228" s="249" t="s">
        <v>742</v>
      </c>
      <c r="I228" s="442">
        <v>43217</v>
      </c>
      <c r="J228" s="246" t="s">
        <v>292</v>
      </c>
      <c r="K228" s="493">
        <v>64</v>
      </c>
      <c r="L228" s="239" t="s">
        <v>17</v>
      </c>
      <c r="M228" s="240" t="s">
        <v>1274</v>
      </c>
    </row>
    <row r="229" spans="1:13" ht="15.95" customHeight="1">
      <c r="A229" s="169" t="s">
        <v>464</v>
      </c>
      <c r="B229" s="395">
        <v>43084</v>
      </c>
      <c r="C229" s="462" t="s">
        <v>624</v>
      </c>
      <c r="D229" s="485">
        <v>1</v>
      </c>
      <c r="E229" s="77" t="s">
        <v>18</v>
      </c>
      <c r="F229" s="390"/>
      <c r="G229" s="26"/>
      <c r="H229" s="169" t="s">
        <v>48</v>
      </c>
      <c r="I229" s="395">
        <v>43158</v>
      </c>
      <c r="J229" s="466" t="s">
        <v>292</v>
      </c>
      <c r="K229" s="485">
        <v>64</v>
      </c>
      <c r="L229" s="77" t="s">
        <v>17</v>
      </c>
      <c r="M229" s="388"/>
    </row>
    <row r="230" spans="1:13" ht="15.95" customHeight="1">
      <c r="A230" s="169" t="s">
        <v>744</v>
      </c>
      <c r="B230" s="387">
        <v>42815</v>
      </c>
      <c r="C230" s="461" t="s">
        <v>624</v>
      </c>
      <c r="D230" s="485">
        <v>2</v>
      </c>
      <c r="E230" s="237" t="s">
        <v>17</v>
      </c>
      <c r="F230" s="390"/>
      <c r="G230" s="26"/>
      <c r="H230" s="169" t="s">
        <v>49</v>
      </c>
      <c r="I230" s="395">
        <v>43193</v>
      </c>
      <c r="J230" s="466" t="s">
        <v>292</v>
      </c>
      <c r="K230" s="485">
        <v>64</v>
      </c>
      <c r="L230" s="77" t="s">
        <v>17</v>
      </c>
      <c r="M230" s="388"/>
    </row>
    <row r="231" spans="1:13" ht="15.95" customHeight="1">
      <c r="A231" s="123" t="s">
        <v>877</v>
      </c>
      <c r="B231" s="395">
        <v>43084</v>
      </c>
      <c r="C231" s="462" t="s">
        <v>624</v>
      </c>
      <c r="D231" s="485">
        <v>4</v>
      </c>
      <c r="E231" s="77" t="s">
        <v>18</v>
      </c>
      <c r="F231" s="405"/>
      <c r="G231" s="26"/>
      <c r="H231" s="169" t="s">
        <v>373</v>
      </c>
      <c r="I231" s="395">
        <v>43193</v>
      </c>
      <c r="J231" s="466" t="s">
        <v>292</v>
      </c>
      <c r="K231" s="485">
        <v>72</v>
      </c>
      <c r="L231" s="77" t="s">
        <v>17</v>
      </c>
      <c r="M231" s="388"/>
    </row>
    <row r="232" spans="1:13" ht="15.95" customHeight="1">
      <c r="A232" s="133" t="s">
        <v>876</v>
      </c>
      <c r="B232" s="387">
        <v>42977</v>
      </c>
      <c r="C232" s="460" t="s">
        <v>814</v>
      </c>
      <c r="D232" s="483">
        <v>10</v>
      </c>
      <c r="E232" s="237" t="s">
        <v>17</v>
      </c>
      <c r="F232" s="388"/>
      <c r="G232" s="26"/>
      <c r="H232" s="123" t="s">
        <v>767</v>
      </c>
      <c r="I232" s="395">
        <v>43124</v>
      </c>
      <c r="J232" s="466" t="s">
        <v>292</v>
      </c>
      <c r="K232" s="485">
        <v>9</v>
      </c>
      <c r="L232" s="77" t="s">
        <v>17</v>
      </c>
      <c r="M232" s="394"/>
    </row>
    <row r="233" spans="1:13" ht="15.95" customHeight="1">
      <c r="A233" s="169" t="s">
        <v>495</v>
      </c>
      <c r="B233" s="395">
        <v>43158</v>
      </c>
      <c r="C233" s="462" t="s">
        <v>772</v>
      </c>
      <c r="D233" s="485">
        <v>1</v>
      </c>
      <c r="E233" s="77" t="s">
        <v>17</v>
      </c>
      <c r="F233" s="396"/>
      <c r="G233" s="26"/>
      <c r="H233" s="85" t="s">
        <v>1071</v>
      </c>
      <c r="I233" s="399">
        <v>43193</v>
      </c>
      <c r="J233" s="468" t="s">
        <v>292</v>
      </c>
      <c r="K233" s="486">
        <v>0</v>
      </c>
      <c r="L233" s="86" t="s">
        <v>17</v>
      </c>
      <c r="M233" s="388"/>
    </row>
    <row r="234" spans="1:13" ht="15.95" customHeight="1">
      <c r="A234" s="15" t="s">
        <v>745</v>
      </c>
      <c r="B234" s="393">
        <v>43201</v>
      </c>
      <c r="C234" s="460" t="s">
        <v>1146</v>
      </c>
      <c r="D234" s="484">
        <v>6</v>
      </c>
      <c r="E234" s="243" t="s">
        <v>1134</v>
      </c>
      <c r="F234" s="394"/>
      <c r="G234" s="26"/>
      <c r="H234" s="249" t="s">
        <v>1058</v>
      </c>
      <c r="I234" s="395">
        <v>43158</v>
      </c>
      <c r="J234" s="466" t="s">
        <v>292</v>
      </c>
      <c r="K234" s="485">
        <v>64</v>
      </c>
      <c r="L234" s="77" t="s">
        <v>17</v>
      </c>
      <c r="M234" s="388"/>
    </row>
    <row r="235" spans="1:13" ht="15.95" customHeight="1">
      <c r="A235" s="249" t="s">
        <v>534</v>
      </c>
      <c r="B235" s="393">
        <v>42923</v>
      </c>
      <c r="C235" s="460" t="s">
        <v>733</v>
      </c>
      <c r="D235" s="484">
        <v>8</v>
      </c>
      <c r="E235" s="239" t="s">
        <v>17</v>
      </c>
      <c r="F235" s="394"/>
      <c r="G235" s="26"/>
      <c r="H235" s="169" t="s">
        <v>781</v>
      </c>
      <c r="I235" s="395">
        <v>43193</v>
      </c>
      <c r="J235" s="467" t="s">
        <v>1114</v>
      </c>
      <c r="K235" s="485">
        <v>5</v>
      </c>
      <c r="L235" s="77" t="s">
        <v>17</v>
      </c>
      <c r="M235" s="388"/>
    </row>
    <row r="236" spans="1:13" ht="15.95" customHeight="1">
      <c r="A236" s="169" t="s">
        <v>379</v>
      </c>
      <c r="B236" s="387">
        <v>42881</v>
      </c>
      <c r="C236" s="461" t="s">
        <v>692</v>
      </c>
      <c r="D236" s="483">
        <v>3</v>
      </c>
      <c r="E236" s="237" t="s">
        <v>701</v>
      </c>
      <c r="F236" s="392" t="s">
        <v>702</v>
      </c>
      <c r="G236" s="26"/>
      <c r="H236" s="169" t="s">
        <v>101</v>
      </c>
      <c r="I236" s="414">
        <v>42782</v>
      </c>
      <c r="J236" s="471" t="s">
        <v>221</v>
      </c>
      <c r="K236" s="483">
        <v>26</v>
      </c>
      <c r="L236" s="241" t="s">
        <v>17</v>
      </c>
      <c r="M236" s="415"/>
    </row>
    <row r="237" spans="1:13" ht="15.95" customHeight="1">
      <c r="A237" s="249" t="s">
        <v>495</v>
      </c>
      <c r="B237" s="387">
        <v>42931</v>
      </c>
      <c r="C237" s="461" t="s">
        <v>752</v>
      </c>
      <c r="D237" s="483">
        <v>2</v>
      </c>
      <c r="E237" s="237" t="s">
        <v>701</v>
      </c>
      <c r="F237" s="405"/>
      <c r="G237" s="26"/>
      <c r="H237" s="123" t="s">
        <v>935</v>
      </c>
      <c r="I237" s="441">
        <v>43157</v>
      </c>
      <c r="J237" s="466" t="s">
        <v>221</v>
      </c>
      <c r="K237" s="485">
        <v>5</v>
      </c>
      <c r="L237" s="77" t="s">
        <v>17</v>
      </c>
      <c r="M237" s="394"/>
    </row>
    <row r="238" spans="1:13" ht="15.95" customHeight="1">
      <c r="A238" s="169" t="s">
        <v>379</v>
      </c>
      <c r="B238" s="387">
        <v>42931</v>
      </c>
      <c r="C238" s="461" t="s">
        <v>752</v>
      </c>
      <c r="D238" s="483">
        <v>10</v>
      </c>
      <c r="E238" s="237" t="s">
        <v>701</v>
      </c>
      <c r="F238" s="392"/>
      <c r="G238" s="26"/>
      <c r="H238" s="169" t="s">
        <v>493</v>
      </c>
      <c r="I238" s="395">
        <v>43193</v>
      </c>
      <c r="J238" s="466" t="s">
        <v>221</v>
      </c>
      <c r="K238" s="485">
        <v>8</v>
      </c>
      <c r="L238" s="77" t="s">
        <v>17</v>
      </c>
      <c r="M238" s="388"/>
    </row>
    <row r="239" spans="1:13" ht="15.95" customHeight="1">
      <c r="A239" s="169" t="s">
        <v>839</v>
      </c>
      <c r="B239" s="387">
        <v>42758</v>
      </c>
      <c r="C239" s="460" t="s">
        <v>572</v>
      </c>
      <c r="D239" s="485">
        <v>4.0000000000000018</v>
      </c>
      <c r="E239" s="77" t="s">
        <v>14</v>
      </c>
      <c r="F239" s="394" t="s">
        <v>850</v>
      </c>
      <c r="G239" s="26"/>
      <c r="H239" s="123" t="s">
        <v>514</v>
      </c>
      <c r="I239" s="414">
        <v>42835</v>
      </c>
      <c r="J239" s="471" t="s">
        <v>644</v>
      </c>
      <c r="K239" s="248">
        <v>17</v>
      </c>
      <c r="L239" s="241" t="s">
        <v>17</v>
      </c>
      <c r="M239" s="390"/>
    </row>
    <row r="240" spans="1:13" ht="15.95" customHeight="1">
      <c r="A240" s="123" t="s">
        <v>463</v>
      </c>
      <c r="B240" s="393">
        <v>43116</v>
      </c>
      <c r="C240" s="460" t="s">
        <v>1013</v>
      </c>
      <c r="D240" s="484">
        <v>5</v>
      </c>
      <c r="E240" s="239" t="s">
        <v>14</v>
      </c>
      <c r="F240" s="394"/>
      <c r="G240" s="26"/>
      <c r="H240" s="169" t="s">
        <v>652</v>
      </c>
      <c r="I240" s="414">
        <v>42835</v>
      </c>
      <c r="J240" s="471" t="s">
        <v>644</v>
      </c>
      <c r="K240" s="483">
        <v>1</v>
      </c>
      <c r="L240" s="241" t="s">
        <v>17</v>
      </c>
      <c r="M240" s="415"/>
    </row>
    <row r="241" spans="1:13" ht="15.95" customHeight="1">
      <c r="A241" s="123" t="s">
        <v>470</v>
      </c>
      <c r="B241" s="395">
        <v>43124</v>
      </c>
      <c r="C241" s="466" t="s">
        <v>312</v>
      </c>
      <c r="D241" s="485">
        <v>12</v>
      </c>
      <c r="E241" s="77" t="s">
        <v>17</v>
      </c>
      <c r="F241" s="394"/>
      <c r="G241" s="26"/>
      <c r="H241" s="169" t="s">
        <v>744</v>
      </c>
      <c r="I241" s="393">
        <v>42744</v>
      </c>
      <c r="J241" s="460" t="s">
        <v>558</v>
      </c>
      <c r="K241" s="484">
        <v>2</v>
      </c>
      <c r="L241" s="239" t="s">
        <v>17</v>
      </c>
      <c r="M241" s="396"/>
    </row>
    <row r="242" spans="1:13" ht="15.95" customHeight="1">
      <c r="A242" s="133" t="s">
        <v>404</v>
      </c>
      <c r="B242" s="387">
        <v>42382</v>
      </c>
      <c r="C242" s="461" t="s">
        <v>312</v>
      </c>
      <c r="D242" s="483">
        <v>3</v>
      </c>
      <c r="E242" s="237" t="s">
        <v>17</v>
      </c>
      <c r="F242" s="410" t="s">
        <v>825</v>
      </c>
      <c r="G242" s="26"/>
      <c r="H242" s="169" t="s">
        <v>741</v>
      </c>
      <c r="I242" s="387">
        <v>42744</v>
      </c>
      <c r="J242" s="460" t="s">
        <v>558</v>
      </c>
      <c r="K242" s="485">
        <v>4</v>
      </c>
      <c r="L242" s="77" t="s">
        <v>17</v>
      </c>
      <c r="M242" s="394"/>
    </row>
    <row r="243" spans="1:13" ht="15.95" customHeight="1">
      <c r="A243" s="169" t="s">
        <v>475</v>
      </c>
      <c r="B243" s="387">
        <v>42643</v>
      </c>
      <c r="C243" s="461" t="s">
        <v>312</v>
      </c>
      <c r="D243" s="483">
        <v>2</v>
      </c>
      <c r="E243" s="242" t="s">
        <v>17</v>
      </c>
      <c r="F243" s="410" t="s">
        <v>826</v>
      </c>
      <c r="G243" s="26"/>
      <c r="H243" s="85" t="s">
        <v>470</v>
      </c>
      <c r="I243" s="399">
        <v>43157</v>
      </c>
      <c r="J243" s="468" t="s">
        <v>13</v>
      </c>
      <c r="K243" s="486">
        <v>0</v>
      </c>
      <c r="L243" s="86" t="s">
        <v>17</v>
      </c>
      <c r="M243" s="388" t="s">
        <v>1288</v>
      </c>
    </row>
    <row r="244" spans="1:13" ht="15.95" customHeight="1">
      <c r="A244" s="169" t="s">
        <v>467</v>
      </c>
      <c r="B244" s="387">
        <v>42643</v>
      </c>
      <c r="C244" s="461" t="s">
        <v>312</v>
      </c>
      <c r="D244" s="483">
        <v>2</v>
      </c>
      <c r="E244" s="237" t="s">
        <v>17</v>
      </c>
      <c r="F244" s="410" t="s">
        <v>564</v>
      </c>
      <c r="G244" s="26"/>
      <c r="H244" s="123" t="s">
        <v>485</v>
      </c>
      <c r="I244" s="395">
        <v>43158</v>
      </c>
      <c r="J244" s="466" t="s">
        <v>13</v>
      </c>
      <c r="K244" s="485">
        <v>2</v>
      </c>
      <c r="L244" s="77" t="s">
        <v>17</v>
      </c>
      <c r="M244" s="388"/>
    </row>
    <row r="245" spans="1:13" ht="15.95" customHeight="1">
      <c r="A245" s="169" t="s">
        <v>495</v>
      </c>
      <c r="B245" s="393">
        <v>42993</v>
      </c>
      <c r="C245" s="460" t="s">
        <v>157</v>
      </c>
      <c r="D245" s="484">
        <v>50</v>
      </c>
      <c r="E245" s="421" t="s">
        <v>1160</v>
      </c>
      <c r="F245" s="394"/>
      <c r="G245" s="26"/>
      <c r="H245" s="85" t="s">
        <v>518</v>
      </c>
      <c r="I245" s="399">
        <v>43157</v>
      </c>
      <c r="J245" s="468" t="s">
        <v>13</v>
      </c>
      <c r="K245" s="486">
        <v>0</v>
      </c>
      <c r="L245" s="86" t="s">
        <v>17</v>
      </c>
      <c r="M245" s="388" t="s">
        <v>1289</v>
      </c>
    </row>
    <row r="246" spans="1:13" ht="15.95" customHeight="1">
      <c r="A246" s="123" t="s">
        <v>174</v>
      </c>
      <c r="B246" s="387">
        <v>41941</v>
      </c>
      <c r="C246" s="461" t="s">
        <v>157</v>
      </c>
      <c r="D246" s="483">
        <v>40</v>
      </c>
      <c r="E246" s="421" t="s">
        <v>1160</v>
      </c>
      <c r="F246" s="439" t="s">
        <v>1201</v>
      </c>
      <c r="G246" s="26"/>
      <c r="H246" s="249" t="s">
        <v>534</v>
      </c>
      <c r="I246" s="441">
        <v>43158</v>
      </c>
      <c r="J246" s="466" t="s">
        <v>13</v>
      </c>
      <c r="K246" s="485">
        <v>16</v>
      </c>
      <c r="L246" s="77" t="s">
        <v>17</v>
      </c>
      <c r="M246" s="394"/>
    </row>
    <row r="247" spans="1:13" ht="15.95" customHeight="1">
      <c r="A247" s="249" t="s">
        <v>534</v>
      </c>
      <c r="B247" s="387">
        <v>42269</v>
      </c>
      <c r="C247" s="461" t="s">
        <v>334</v>
      </c>
      <c r="D247" s="483">
        <v>603</v>
      </c>
      <c r="E247" s="243" t="s">
        <v>1160</v>
      </c>
      <c r="F247" s="440"/>
      <c r="G247" s="26"/>
      <c r="H247" s="85" t="s">
        <v>454</v>
      </c>
      <c r="I247" s="407">
        <v>43158</v>
      </c>
      <c r="J247" s="469" t="s">
        <v>13</v>
      </c>
      <c r="K247" s="492">
        <v>0</v>
      </c>
      <c r="L247" s="437" t="s">
        <v>17</v>
      </c>
      <c r="M247" s="405" t="s">
        <v>1272</v>
      </c>
    </row>
    <row r="248" spans="1:13" ht="15.95" customHeight="1">
      <c r="A248" s="15" t="s">
        <v>534</v>
      </c>
      <c r="B248" s="441"/>
      <c r="C248" s="466" t="s">
        <v>156</v>
      </c>
      <c r="D248" s="485">
        <v>5</v>
      </c>
      <c r="E248" s="77" t="s">
        <v>164</v>
      </c>
      <c r="F248" s="394"/>
      <c r="G248" s="26"/>
      <c r="H248" s="51" t="s">
        <v>618</v>
      </c>
      <c r="I248" s="399">
        <v>43158</v>
      </c>
      <c r="J248" s="468" t="s">
        <v>13</v>
      </c>
      <c r="K248" s="486">
        <v>0</v>
      </c>
      <c r="L248" s="86" t="s">
        <v>17</v>
      </c>
      <c r="M248" s="443"/>
    </row>
    <row r="249" spans="1:13" ht="15.95" customHeight="1">
      <c r="A249" s="169" t="s">
        <v>652</v>
      </c>
      <c r="B249" s="395">
        <v>42993</v>
      </c>
      <c r="C249" s="460" t="s">
        <v>156</v>
      </c>
      <c r="D249" s="485">
        <v>6</v>
      </c>
      <c r="E249" s="77" t="s">
        <v>17</v>
      </c>
      <c r="F249" s="394"/>
      <c r="G249" s="26"/>
      <c r="H249" s="249" t="s">
        <v>520</v>
      </c>
      <c r="I249" s="442">
        <v>43217</v>
      </c>
      <c r="J249" s="246" t="s">
        <v>13</v>
      </c>
      <c r="K249" s="493">
        <v>52</v>
      </c>
      <c r="L249" s="239" t="s">
        <v>17</v>
      </c>
      <c r="M249" s="240" t="s">
        <v>1274</v>
      </c>
    </row>
    <row r="250" spans="1:13" ht="15.95" customHeight="1">
      <c r="A250" s="169" t="s">
        <v>744</v>
      </c>
      <c r="B250" s="393">
        <v>42993</v>
      </c>
      <c r="C250" s="460" t="s">
        <v>156</v>
      </c>
      <c r="D250" s="484">
        <v>1</v>
      </c>
      <c r="E250" s="239" t="s">
        <v>17</v>
      </c>
      <c r="F250" s="396"/>
      <c r="G250" s="26"/>
      <c r="H250" s="249" t="s">
        <v>761</v>
      </c>
      <c r="I250" s="442">
        <v>43217</v>
      </c>
      <c r="J250" s="246" t="s">
        <v>13</v>
      </c>
      <c r="K250" s="493">
        <v>52</v>
      </c>
      <c r="L250" s="239" t="s">
        <v>17</v>
      </c>
      <c r="M250" s="240" t="s">
        <v>1274</v>
      </c>
    </row>
    <row r="251" spans="1:13" ht="15.95" customHeight="1">
      <c r="A251" s="249" t="s">
        <v>468</v>
      </c>
      <c r="B251" s="395">
        <v>43193</v>
      </c>
      <c r="C251" s="466" t="s">
        <v>1006</v>
      </c>
      <c r="D251" s="485">
        <v>64</v>
      </c>
      <c r="E251" s="77" t="s">
        <v>17</v>
      </c>
      <c r="F251" s="388"/>
      <c r="G251" s="26"/>
      <c r="H251" s="123" t="s">
        <v>525</v>
      </c>
      <c r="I251" s="441">
        <v>43158</v>
      </c>
      <c r="J251" s="466" t="s">
        <v>13</v>
      </c>
      <c r="K251" s="485">
        <v>18</v>
      </c>
      <c r="L251" s="77" t="s">
        <v>17</v>
      </c>
      <c r="M251" s="394"/>
    </row>
    <row r="252" spans="1:13" ht="15.95" customHeight="1">
      <c r="A252" s="249" t="s">
        <v>462</v>
      </c>
      <c r="B252" s="395">
        <v>43193</v>
      </c>
      <c r="C252" s="466" t="s">
        <v>1006</v>
      </c>
      <c r="D252" s="485">
        <v>64</v>
      </c>
      <c r="E252" s="77" t="s">
        <v>17</v>
      </c>
      <c r="F252" s="388"/>
      <c r="G252" s="26"/>
      <c r="H252" s="15" t="s">
        <v>569</v>
      </c>
      <c r="I252" s="395">
        <v>43193</v>
      </c>
      <c r="J252" s="466" t="s">
        <v>13</v>
      </c>
      <c r="K252" s="485">
        <v>52</v>
      </c>
      <c r="L252" s="77" t="s">
        <v>17</v>
      </c>
      <c r="M252" s="388"/>
    </row>
    <row r="253" spans="1:13" ht="15.95" customHeight="1">
      <c r="A253" s="15" t="s">
        <v>592</v>
      </c>
      <c r="B253" s="395">
        <v>43193</v>
      </c>
      <c r="C253" s="466" t="s">
        <v>1006</v>
      </c>
      <c r="D253" s="485">
        <v>64</v>
      </c>
      <c r="E253" s="77" t="s">
        <v>17</v>
      </c>
      <c r="F253" s="388"/>
      <c r="G253" s="26"/>
      <c r="H253" s="169" t="s">
        <v>787</v>
      </c>
      <c r="I253" s="395">
        <v>43193</v>
      </c>
      <c r="J253" s="466" t="s">
        <v>13</v>
      </c>
      <c r="K253" s="485">
        <v>52</v>
      </c>
      <c r="L253" s="77" t="s">
        <v>17</v>
      </c>
      <c r="M253" s="388"/>
    </row>
    <row r="254" spans="1:13" ht="15.95" customHeight="1">
      <c r="A254" s="169" t="s">
        <v>735</v>
      </c>
      <c r="B254" s="395">
        <v>43193</v>
      </c>
      <c r="C254" s="466" t="s">
        <v>1006</v>
      </c>
      <c r="D254" s="485">
        <v>64</v>
      </c>
      <c r="E254" s="77" t="s">
        <v>17</v>
      </c>
      <c r="F254" s="388"/>
      <c r="G254" s="26"/>
      <c r="H254" s="15" t="s">
        <v>526</v>
      </c>
      <c r="I254" s="441">
        <v>43158</v>
      </c>
      <c r="J254" s="466" t="s">
        <v>13</v>
      </c>
      <c r="K254" s="485">
        <v>52</v>
      </c>
      <c r="L254" s="77" t="s">
        <v>17</v>
      </c>
      <c r="M254" s="394"/>
    </row>
    <row r="255" spans="1:13" ht="15.95" customHeight="1">
      <c r="A255" s="169" t="s">
        <v>496</v>
      </c>
      <c r="B255" s="395">
        <v>43193</v>
      </c>
      <c r="C255" s="466" t="s">
        <v>1006</v>
      </c>
      <c r="D255" s="485">
        <v>64</v>
      </c>
      <c r="E255" s="77" t="s">
        <v>17</v>
      </c>
      <c r="F255" s="388"/>
      <c r="G255" s="26"/>
      <c r="H255" s="169" t="s">
        <v>606</v>
      </c>
      <c r="I255" s="441">
        <v>43158</v>
      </c>
      <c r="J255" s="466" t="s">
        <v>13</v>
      </c>
      <c r="K255" s="485">
        <v>52</v>
      </c>
      <c r="L255" s="77" t="s">
        <v>17</v>
      </c>
      <c r="M255" s="394"/>
    </row>
    <row r="256" spans="1:13" ht="15.95" customHeight="1">
      <c r="A256" s="169" t="s">
        <v>639</v>
      </c>
      <c r="B256" s="395">
        <v>43193</v>
      </c>
      <c r="C256" s="466" t="s">
        <v>1006</v>
      </c>
      <c r="D256" s="485">
        <v>64</v>
      </c>
      <c r="E256" s="77" t="s">
        <v>17</v>
      </c>
      <c r="F256" s="388"/>
      <c r="G256" s="26"/>
      <c r="H256" s="169" t="s">
        <v>1260</v>
      </c>
      <c r="I256" s="395">
        <v>43193</v>
      </c>
      <c r="J256" s="466" t="s">
        <v>13</v>
      </c>
      <c r="K256" s="485">
        <v>52</v>
      </c>
      <c r="L256" s="77" t="s">
        <v>17</v>
      </c>
      <c r="M256" s="388"/>
    </row>
    <row r="257" spans="1:13" ht="15.95" customHeight="1">
      <c r="A257" s="249" t="s">
        <v>625</v>
      </c>
      <c r="B257" s="395">
        <v>43193</v>
      </c>
      <c r="C257" s="466" t="s">
        <v>1006</v>
      </c>
      <c r="D257" s="485">
        <v>64</v>
      </c>
      <c r="E257" s="77" t="s">
        <v>17</v>
      </c>
      <c r="F257" s="388"/>
      <c r="G257" s="26"/>
      <c r="H257" s="169" t="s">
        <v>783</v>
      </c>
      <c r="I257" s="395">
        <v>43158</v>
      </c>
      <c r="J257" s="466" t="s">
        <v>13</v>
      </c>
      <c r="K257" s="485">
        <v>52</v>
      </c>
      <c r="L257" s="77" t="s">
        <v>17</v>
      </c>
      <c r="M257" s="388"/>
    </row>
    <row r="258" spans="1:13" ht="15.95" customHeight="1">
      <c r="A258" s="123" t="s">
        <v>460</v>
      </c>
      <c r="B258" s="395">
        <v>43193</v>
      </c>
      <c r="C258" s="466" t="s">
        <v>1006</v>
      </c>
      <c r="D258" s="485">
        <v>64</v>
      </c>
      <c r="E258" s="77" t="s">
        <v>17</v>
      </c>
      <c r="F258" s="388"/>
      <c r="G258" s="26"/>
      <c r="H258" s="249" t="s">
        <v>562</v>
      </c>
      <c r="I258" s="395">
        <v>43193</v>
      </c>
      <c r="J258" s="466" t="s">
        <v>13</v>
      </c>
      <c r="K258" s="485">
        <v>52</v>
      </c>
      <c r="L258" s="77" t="s">
        <v>17</v>
      </c>
      <c r="M258" s="388"/>
    </row>
    <row r="259" spans="1:13" ht="15.95" customHeight="1">
      <c r="A259" s="169" t="s">
        <v>781</v>
      </c>
      <c r="B259" s="395">
        <v>43193</v>
      </c>
      <c r="C259" s="466" t="s">
        <v>1006</v>
      </c>
      <c r="D259" s="485">
        <v>60</v>
      </c>
      <c r="E259" s="77" t="s">
        <v>17</v>
      </c>
      <c r="F259" s="388"/>
      <c r="G259" s="26"/>
      <c r="H259" s="249" t="s">
        <v>1113</v>
      </c>
      <c r="I259" s="395">
        <v>43193</v>
      </c>
      <c r="J259" s="466" t="s">
        <v>13</v>
      </c>
      <c r="K259" s="485">
        <v>52</v>
      </c>
      <c r="L259" s="77" t="s">
        <v>17</v>
      </c>
      <c r="M259" s="388"/>
    </row>
    <row r="260" spans="1:13" ht="15.95" customHeight="1">
      <c r="A260" s="123" t="s">
        <v>518</v>
      </c>
      <c r="B260" s="395">
        <v>43116</v>
      </c>
      <c r="C260" s="462" t="s">
        <v>1009</v>
      </c>
      <c r="D260" s="485">
        <v>1</v>
      </c>
      <c r="E260" s="77" t="s">
        <v>17</v>
      </c>
      <c r="F260" s="394"/>
      <c r="G260" s="26"/>
      <c r="H260" s="249" t="s">
        <v>897</v>
      </c>
      <c r="I260" s="395">
        <v>43158</v>
      </c>
      <c r="J260" s="466" t="s">
        <v>13</v>
      </c>
      <c r="K260" s="485">
        <v>52</v>
      </c>
      <c r="L260" s="77" t="s">
        <v>17</v>
      </c>
      <c r="M260" s="388"/>
    </row>
    <row r="261" spans="1:13" ht="15.95" customHeight="1">
      <c r="A261" s="249" t="s">
        <v>458</v>
      </c>
      <c r="B261" s="395">
        <v>43116</v>
      </c>
      <c r="C261" s="462" t="s">
        <v>1009</v>
      </c>
      <c r="D261" s="485">
        <v>1</v>
      </c>
      <c r="E261" s="77" t="s">
        <v>17</v>
      </c>
      <c r="F261" s="394"/>
      <c r="G261" s="26"/>
      <c r="H261" s="249" t="s">
        <v>1115</v>
      </c>
      <c r="I261" s="395">
        <v>43193</v>
      </c>
      <c r="J261" s="466" t="s">
        <v>13</v>
      </c>
      <c r="K261" s="485">
        <v>52</v>
      </c>
      <c r="L261" s="77" t="s">
        <v>17</v>
      </c>
      <c r="M261" s="388"/>
    </row>
    <row r="262" spans="1:13" ht="15.95" customHeight="1">
      <c r="A262" s="169" t="s">
        <v>493</v>
      </c>
      <c r="B262" s="395">
        <v>43193</v>
      </c>
      <c r="C262" s="466" t="s">
        <v>1009</v>
      </c>
      <c r="D262" s="485">
        <v>10</v>
      </c>
      <c r="E262" s="77" t="s">
        <v>17</v>
      </c>
      <c r="F262" s="388"/>
      <c r="G262" s="26"/>
      <c r="H262" s="169" t="s">
        <v>787</v>
      </c>
      <c r="I262" s="387">
        <v>42977</v>
      </c>
      <c r="J262" s="461" t="s">
        <v>13</v>
      </c>
      <c r="K262" s="483">
        <v>1</v>
      </c>
      <c r="L262" s="237" t="s">
        <v>17</v>
      </c>
      <c r="M262" s="396"/>
    </row>
    <row r="263" spans="1:13" ht="15.95" customHeight="1">
      <c r="A263" s="15" t="s">
        <v>456</v>
      </c>
      <c r="B263" s="441">
        <v>43159</v>
      </c>
      <c r="C263" s="466" t="s">
        <v>1008</v>
      </c>
      <c r="D263" s="485">
        <v>65</v>
      </c>
      <c r="E263" s="77" t="s">
        <v>17</v>
      </c>
      <c r="F263" s="394" t="s">
        <v>963</v>
      </c>
      <c r="G263" s="26"/>
      <c r="H263" s="169" t="s">
        <v>365</v>
      </c>
      <c r="I263" s="393">
        <v>42835</v>
      </c>
      <c r="J263" s="460" t="s">
        <v>643</v>
      </c>
      <c r="K263" s="484">
        <v>1</v>
      </c>
      <c r="L263" s="239" t="s">
        <v>17</v>
      </c>
      <c r="M263" s="415" t="s">
        <v>785</v>
      </c>
    </row>
    <row r="264" spans="1:13" ht="15.95" customHeight="1">
      <c r="A264" s="169" t="s">
        <v>493</v>
      </c>
      <c r="B264" s="395">
        <v>43193</v>
      </c>
      <c r="C264" s="466" t="s">
        <v>1008</v>
      </c>
      <c r="D264" s="485">
        <v>60</v>
      </c>
      <c r="E264" s="77" t="s">
        <v>17</v>
      </c>
      <c r="F264" s="388"/>
      <c r="G264" s="26"/>
      <c r="H264" s="123" t="s">
        <v>520</v>
      </c>
      <c r="I264" s="393">
        <v>42993</v>
      </c>
      <c r="J264" s="460" t="s">
        <v>818</v>
      </c>
      <c r="K264" s="484">
        <v>2</v>
      </c>
      <c r="L264" s="239" t="s">
        <v>17</v>
      </c>
      <c r="M264" s="396" t="s">
        <v>862</v>
      </c>
    </row>
    <row r="265" spans="1:13" ht="15.95" customHeight="1">
      <c r="A265" s="123" t="s">
        <v>603</v>
      </c>
      <c r="B265" s="395">
        <v>43116</v>
      </c>
      <c r="C265" s="462" t="s">
        <v>1008</v>
      </c>
      <c r="D265" s="485">
        <v>3</v>
      </c>
      <c r="E265" s="77" t="s">
        <v>17</v>
      </c>
      <c r="F265" s="394" t="s">
        <v>1131</v>
      </c>
      <c r="G265" s="26"/>
      <c r="H265" s="169" t="s">
        <v>470</v>
      </c>
      <c r="I265" s="387">
        <v>42269</v>
      </c>
      <c r="J265" s="461" t="s">
        <v>815</v>
      </c>
      <c r="K265" s="483">
        <v>12.3</v>
      </c>
      <c r="L265" s="242" t="s">
        <v>17</v>
      </c>
      <c r="M265" s="415" t="s">
        <v>1204</v>
      </c>
    </row>
    <row r="266" spans="1:13" ht="15.95" customHeight="1">
      <c r="A266" s="123" t="s">
        <v>507</v>
      </c>
      <c r="B266" s="393">
        <v>42835</v>
      </c>
      <c r="C266" s="460" t="s">
        <v>645</v>
      </c>
      <c r="D266" s="484">
        <v>5</v>
      </c>
      <c r="E266" s="239" t="s">
        <v>17</v>
      </c>
      <c r="F266" s="396" t="s">
        <v>803</v>
      </c>
      <c r="G266" s="26"/>
      <c r="H266" s="169" t="s">
        <v>495</v>
      </c>
      <c r="I266" s="393">
        <v>42993</v>
      </c>
      <c r="J266" s="460" t="s">
        <v>822</v>
      </c>
      <c r="K266" s="484">
        <v>690</v>
      </c>
      <c r="L266" s="243" t="s">
        <v>1160</v>
      </c>
      <c r="M266" s="396"/>
    </row>
    <row r="267" spans="1:13" ht="15.95" customHeight="1">
      <c r="A267" s="123" t="s">
        <v>485</v>
      </c>
      <c r="B267" s="387">
        <v>43158</v>
      </c>
      <c r="C267" s="460" t="s">
        <v>292</v>
      </c>
      <c r="D267" s="485">
        <v>19</v>
      </c>
      <c r="E267" s="77" t="s">
        <v>17</v>
      </c>
      <c r="F267" s="394"/>
      <c r="G267" s="26"/>
      <c r="H267" s="169" t="s">
        <v>589</v>
      </c>
      <c r="I267" s="387">
        <v>41023</v>
      </c>
      <c r="J267" s="461" t="s">
        <v>36</v>
      </c>
      <c r="K267" s="483">
        <v>5</v>
      </c>
      <c r="L267" s="237" t="s">
        <v>17</v>
      </c>
      <c r="M267" s="406"/>
    </row>
    <row r="268" spans="1:13" ht="15.95" customHeight="1">
      <c r="G268" s="26"/>
      <c r="H268" s="169" t="s">
        <v>589</v>
      </c>
      <c r="I268" s="389" t="s">
        <v>223</v>
      </c>
      <c r="J268" s="461" t="s">
        <v>226</v>
      </c>
      <c r="K268" s="483">
        <v>6</v>
      </c>
      <c r="L268" s="243" t="s">
        <v>1160</v>
      </c>
      <c r="M268" s="406"/>
    </row>
    <row r="269" spans="1:13" ht="15.95" customHeight="1">
      <c r="G269" s="26"/>
      <c r="H269" s="169" t="s">
        <v>568</v>
      </c>
      <c r="I269" s="414">
        <v>43119</v>
      </c>
      <c r="J269" s="375" t="s">
        <v>1015</v>
      </c>
      <c r="K269" s="483">
        <v>3</v>
      </c>
      <c r="L269" s="238" t="s">
        <v>17</v>
      </c>
      <c r="M269" s="390" t="s">
        <v>414</v>
      </c>
    </row>
    <row r="270" spans="1:13" ht="15.95" customHeight="1">
      <c r="G270" s="26"/>
      <c r="H270" s="51" t="s">
        <v>520</v>
      </c>
      <c r="I270" s="407">
        <v>43157</v>
      </c>
      <c r="J270" s="473" t="s">
        <v>307</v>
      </c>
      <c r="K270" s="486">
        <v>0</v>
      </c>
      <c r="L270" s="86" t="s">
        <v>17</v>
      </c>
      <c r="M270" s="394"/>
    </row>
    <row r="271" spans="1:13" ht="15.95" customHeight="1">
      <c r="G271" s="26"/>
      <c r="H271" s="169" t="s">
        <v>333</v>
      </c>
      <c r="I271" s="387">
        <v>43157</v>
      </c>
      <c r="J271" s="460" t="s">
        <v>307</v>
      </c>
      <c r="K271" s="485">
        <v>19</v>
      </c>
      <c r="L271" s="77" t="s">
        <v>17</v>
      </c>
      <c r="M271" s="394"/>
    </row>
    <row r="272" spans="1:13" ht="15.95" customHeight="1">
      <c r="G272" s="26"/>
      <c r="H272" s="123" t="s">
        <v>514</v>
      </c>
      <c r="I272" s="393">
        <v>42816</v>
      </c>
      <c r="J272" s="460" t="s">
        <v>627</v>
      </c>
      <c r="K272" s="484">
        <v>3</v>
      </c>
      <c r="L272" s="239" t="s">
        <v>17</v>
      </c>
      <c r="M272" s="394"/>
    </row>
    <row r="273" spans="7:13" ht="15.95" customHeight="1">
      <c r="G273" s="26"/>
      <c r="H273" s="123" t="s">
        <v>646</v>
      </c>
      <c r="I273" s="395">
        <v>43150</v>
      </c>
      <c r="J273" s="466" t="s">
        <v>626</v>
      </c>
      <c r="K273" s="485">
        <v>19</v>
      </c>
      <c r="L273" s="77" t="s">
        <v>17</v>
      </c>
      <c r="M273" s="394"/>
    </row>
    <row r="274" spans="7:13" ht="15.95" customHeight="1">
      <c r="G274" s="26"/>
      <c r="H274" s="85" t="s">
        <v>485</v>
      </c>
      <c r="I274" s="399">
        <v>43150</v>
      </c>
      <c r="J274" s="468" t="s">
        <v>626</v>
      </c>
      <c r="K274" s="486">
        <v>0</v>
      </c>
      <c r="L274" s="86" t="s">
        <v>17</v>
      </c>
      <c r="M274" s="394"/>
    </row>
    <row r="275" spans="7:13" ht="15.95" customHeight="1">
      <c r="G275" s="26"/>
      <c r="H275" s="123" t="s">
        <v>788</v>
      </c>
      <c r="I275" s="395">
        <v>43150</v>
      </c>
      <c r="J275" s="466" t="s">
        <v>626</v>
      </c>
      <c r="K275" s="485">
        <v>16</v>
      </c>
      <c r="L275" s="77" t="s">
        <v>17</v>
      </c>
      <c r="M275" s="394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9" t="s">
        <v>529</v>
      </c>
      <c r="B318" s="395">
        <v>43150</v>
      </c>
      <c r="C318" s="466" t="s">
        <v>626</v>
      </c>
      <c r="D318" s="485">
        <v>5</v>
      </c>
      <c r="E318" s="77" t="s">
        <v>17</v>
      </c>
      <c r="F318" s="394"/>
      <c r="G318" s="26"/>
      <c r="H318" s="26"/>
      <c r="I318" s="26"/>
      <c r="J318" s="26"/>
    </row>
    <row r="319" spans="1:10" ht="15.95" customHeight="1">
      <c r="A319" s="249" t="s">
        <v>458</v>
      </c>
      <c r="B319" s="395">
        <v>43150</v>
      </c>
      <c r="C319" s="466" t="s">
        <v>626</v>
      </c>
      <c r="D319" s="485">
        <v>3</v>
      </c>
      <c r="E319" s="77" t="s">
        <v>17</v>
      </c>
      <c r="F319" s="394"/>
      <c r="G319" s="26"/>
      <c r="H319" s="26"/>
      <c r="I319" s="26"/>
      <c r="J319" s="26"/>
    </row>
    <row r="320" spans="1:10" ht="15.95" customHeight="1">
      <c r="A320" s="249" t="s">
        <v>458</v>
      </c>
      <c r="B320" s="395">
        <v>43124</v>
      </c>
      <c r="C320" s="466" t="s">
        <v>300</v>
      </c>
      <c r="D320" s="485">
        <v>12</v>
      </c>
      <c r="E320" s="77" t="s">
        <v>17</v>
      </c>
      <c r="F320" s="394"/>
      <c r="G320" s="26"/>
      <c r="H320" s="26"/>
      <c r="I320" s="26"/>
      <c r="J320" s="26"/>
    </row>
    <row r="321" spans="1:10" ht="15.95" customHeight="1">
      <c r="A321" s="51" t="s">
        <v>520</v>
      </c>
      <c r="B321" s="407">
        <v>43157</v>
      </c>
      <c r="C321" s="473" t="s">
        <v>300</v>
      </c>
      <c r="D321" s="486">
        <v>0</v>
      </c>
      <c r="E321" s="86" t="s">
        <v>17</v>
      </c>
      <c r="F321" s="394"/>
      <c r="G321" s="26"/>
      <c r="H321" s="26"/>
      <c r="I321" s="26"/>
      <c r="J321" s="26"/>
    </row>
    <row r="322" spans="1:10" ht="15.95" customHeight="1">
      <c r="A322" s="169" t="s">
        <v>333</v>
      </c>
      <c r="B322" s="387">
        <v>43157</v>
      </c>
      <c r="C322" s="460" t="s">
        <v>300</v>
      </c>
      <c r="D322" s="485">
        <v>32</v>
      </c>
      <c r="E322" s="77" t="s">
        <v>17</v>
      </c>
      <c r="F322" s="394"/>
      <c r="G322" s="26"/>
      <c r="H322" s="26"/>
      <c r="I322" s="26"/>
      <c r="J322" s="26"/>
    </row>
    <row r="323" spans="1:10" ht="15.95" customHeight="1">
      <c r="A323" s="169" t="s">
        <v>463</v>
      </c>
      <c r="B323" s="389">
        <v>42499</v>
      </c>
      <c r="C323" s="461" t="s">
        <v>300</v>
      </c>
      <c r="D323" s="483">
        <v>2</v>
      </c>
      <c r="E323" s="238" t="s">
        <v>17</v>
      </c>
      <c r="F323" s="410" t="s">
        <v>827</v>
      </c>
      <c r="G323" s="26"/>
      <c r="H323" s="26"/>
      <c r="I323" s="26"/>
      <c r="J323" s="26"/>
    </row>
    <row r="324" spans="1:10" ht="15.95" customHeight="1">
      <c r="A324" s="169" t="s">
        <v>257</v>
      </c>
      <c r="B324" s="414">
        <v>42782</v>
      </c>
      <c r="C324" s="471" t="s">
        <v>300</v>
      </c>
      <c r="D324" s="483">
        <v>1</v>
      </c>
      <c r="E324" s="241" t="s">
        <v>17</v>
      </c>
      <c r="F324" s="400" t="s">
        <v>844</v>
      </c>
      <c r="G324" s="26"/>
      <c r="H324" s="26"/>
      <c r="I324" s="26"/>
      <c r="J324" s="26"/>
    </row>
    <row r="325" spans="1:10" ht="15.95" customHeight="1">
      <c r="A325" s="249" t="s">
        <v>458</v>
      </c>
      <c r="B325" s="393">
        <v>43160</v>
      </c>
      <c r="C325" s="460" t="s">
        <v>1067</v>
      </c>
      <c r="D325" s="484">
        <v>4</v>
      </c>
      <c r="E325" s="239" t="s">
        <v>17</v>
      </c>
      <c r="F325" s="396"/>
      <c r="G325" s="26"/>
      <c r="H325" s="26"/>
      <c r="I325" s="26"/>
      <c r="J325" s="26"/>
    </row>
    <row r="326" spans="1:10" ht="15.95" customHeight="1">
      <c r="A326" s="169" t="s">
        <v>1014</v>
      </c>
      <c r="B326" s="387">
        <v>43182</v>
      </c>
      <c r="C326" s="460" t="s">
        <v>1084</v>
      </c>
      <c r="D326" s="485">
        <v>2</v>
      </c>
      <c r="E326" s="77" t="s">
        <v>17</v>
      </c>
      <c r="F326" s="388"/>
      <c r="G326" s="26"/>
      <c r="H326" s="26"/>
      <c r="I326" s="26"/>
      <c r="J326" s="26"/>
    </row>
    <row r="327" spans="1:10" ht="15.95" customHeight="1">
      <c r="A327" s="169" t="s">
        <v>1014</v>
      </c>
      <c r="B327" s="387">
        <v>43182</v>
      </c>
      <c r="C327" s="460" t="s">
        <v>1084</v>
      </c>
      <c r="D327" s="485">
        <v>5</v>
      </c>
      <c r="E327" s="77" t="s">
        <v>17</v>
      </c>
      <c r="F327" s="444"/>
      <c r="G327" s="26"/>
      <c r="H327" s="26"/>
      <c r="I327" s="26"/>
      <c r="J327" s="26"/>
    </row>
    <row r="328" spans="1:10" ht="15.95" customHeight="1">
      <c r="A328" s="123" t="s">
        <v>485</v>
      </c>
      <c r="B328" s="387">
        <v>43217</v>
      </c>
      <c r="C328" s="460" t="s">
        <v>1286</v>
      </c>
      <c r="D328" s="485">
        <v>4</v>
      </c>
      <c r="E328" s="77" t="s">
        <v>17</v>
      </c>
      <c r="F328" s="394"/>
      <c r="G328" s="26"/>
      <c r="H328" s="26"/>
      <c r="I328" s="26"/>
      <c r="J328" s="26"/>
    </row>
    <row r="329" spans="1:10" ht="15.95" customHeight="1">
      <c r="A329" s="123" t="s">
        <v>485</v>
      </c>
      <c r="B329" s="387">
        <v>43217</v>
      </c>
      <c r="C329" s="466" t="s">
        <v>1287</v>
      </c>
      <c r="D329" s="485">
        <v>4</v>
      </c>
      <c r="E329" s="77" t="s">
        <v>17</v>
      </c>
      <c r="F329" s="394"/>
      <c r="G329" s="26"/>
      <c r="H329" s="26"/>
      <c r="I329" s="26"/>
      <c r="J329" s="26"/>
    </row>
    <row r="330" spans="1:10" ht="15.95" customHeight="1">
      <c r="A330" s="123" t="s">
        <v>485</v>
      </c>
      <c r="B330" s="387">
        <v>43217</v>
      </c>
      <c r="C330" s="460" t="s">
        <v>1285</v>
      </c>
      <c r="D330" s="485">
        <v>2</v>
      </c>
      <c r="E330" s="77" t="s">
        <v>17</v>
      </c>
      <c r="F330" s="394"/>
      <c r="G330" s="26"/>
      <c r="H330" s="26"/>
      <c r="I330" s="26"/>
      <c r="J330" s="26"/>
    </row>
    <row r="331" spans="1:10" ht="15.95" customHeight="1">
      <c r="A331" s="169" t="s">
        <v>495</v>
      </c>
      <c r="B331" s="395">
        <v>43124</v>
      </c>
      <c r="C331" s="466" t="s">
        <v>304</v>
      </c>
      <c r="D331" s="485">
        <v>1</v>
      </c>
      <c r="E331" s="77" t="s">
        <v>17</v>
      </c>
      <c r="F331" s="388"/>
      <c r="G331" s="26"/>
      <c r="H331" s="26"/>
      <c r="I331" s="26"/>
      <c r="J331" s="26"/>
    </row>
    <row r="332" spans="1:10" ht="15.95" customHeight="1">
      <c r="A332" s="123" t="s">
        <v>507</v>
      </c>
      <c r="B332" s="387">
        <v>42059</v>
      </c>
      <c r="C332" s="460" t="s">
        <v>205</v>
      </c>
      <c r="D332" s="254">
        <v>32</v>
      </c>
      <c r="E332" s="77" t="s">
        <v>17</v>
      </c>
      <c r="F332" s="394"/>
      <c r="G332" s="26"/>
      <c r="H332" s="26"/>
      <c r="I332" s="26"/>
      <c r="J332" s="26"/>
    </row>
    <row r="333" spans="1:10" ht="15.95" customHeight="1">
      <c r="A333" s="169" t="s">
        <v>427</v>
      </c>
      <c r="B333" s="389">
        <v>42059</v>
      </c>
      <c r="C333" s="460" t="s">
        <v>205</v>
      </c>
      <c r="D333" s="248">
        <v>6</v>
      </c>
      <c r="E333" s="238" t="s">
        <v>17</v>
      </c>
      <c r="F333" s="394"/>
      <c r="G333" s="26"/>
      <c r="H333" s="26"/>
      <c r="I333" s="26"/>
      <c r="J333" s="26"/>
    </row>
    <row r="334" spans="1:10" ht="15.95" customHeight="1">
      <c r="A334" s="249" t="s">
        <v>990</v>
      </c>
      <c r="B334" s="395">
        <v>42059</v>
      </c>
      <c r="C334" s="466" t="s">
        <v>205</v>
      </c>
      <c r="D334" s="254">
        <v>4</v>
      </c>
      <c r="E334" s="77" t="s">
        <v>17</v>
      </c>
      <c r="F334" s="388" t="s">
        <v>1154</v>
      </c>
      <c r="G334" s="26"/>
      <c r="H334" s="26"/>
      <c r="I334" s="26"/>
      <c r="J334" s="26"/>
    </row>
    <row r="335" spans="1:10" ht="15.95" customHeight="1">
      <c r="A335" s="169" t="s">
        <v>838</v>
      </c>
      <c r="B335" s="387">
        <v>43124</v>
      </c>
      <c r="C335" s="460" t="s">
        <v>134</v>
      </c>
      <c r="D335" s="254">
        <v>8</v>
      </c>
      <c r="E335" s="77" t="s">
        <v>1022</v>
      </c>
      <c r="F335" s="394"/>
      <c r="G335" s="26"/>
      <c r="H335" s="26"/>
      <c r="I335" s="26"/>
      <c r="J335" s="26"/>
    </row>
    <row r="336" spans="1:10" ht="15.95" customHeight="1">
      <c r="A336" s="133" t="s">
        <v>973</v>
      </c>
      <c r="B336" s="387">
        <v>43157</v>
      </c>
      <c r="C336" s="460" t="s">
        <v>134</v>
      </c>
      <c r="D336" s="483">
        <v>10</v>
      </c>
      <c r="E336" s="237" t="s">
        <v>14</v>
      </c>
      <c r="F336" s="388"/>
      <c r="G336" s="26"/>
      <c r="H336" s="26"/>
      <c r="I336" s="26"/>
      <c r="J336" s="26"/>
    </row>
    <row r="337" spans="1:10" ht="15.95" customHeight="1">
      <c r="A337" s="169" t="s">
        <v>213</v>
      </c>
      <c r="B337" s="387">
        <v>42156</v>
      </c>
      <c r="C337" s="461" t="s">
        <v>134</v>
      </c>
      <c r="D337" s="483">
        <v>10</v>
      </c>
      <c r="E337" s="237" t="s">
        <v>1134</v>
      </c>
      <c r="F337" s="410" t="s">
        <v>262</v>
      </c>
      <c r="G337" s="26"/>
      <c r="H337" s="26"/>
      <c r="I337" s="26"/>
      <c r="J337" s="26"/>
    </row>
    <row r="338" spans="1:10" ht="15.95" customHeight="1">
      <c r="A338" s="169" t="s">
        <v>967</v>
      </c>
      <c r="B338" s="395">
        <v>43157</v>
      </c>
      <c r="C338" s="466" t="s">
        <v>91</v>
      </c>
      <c r="D338" s="485">
        <v>47</v>
      </c>
      <c r="E338" s="77" t="s">
        <v>14</v>
      </c>
      <c r="F338" s="388" t="s">
        <v>1032</v>
      </c>
      <c r="G338" s="26"/>
      <c r="H338" s="26"/>
      <c r="I338" s="26"/>
      <c r="J338" s="26"/>
    </row>
    <row r="339" spans="1:10" ht="15.95" customHeight="1">
      <c r="A339" s="169" t="s">
        <v>837</v>
      </c>
      <c r="B339" s="387">
        <v>43124</v>
      </c>
      <c r="C339" s="460" t="s">
        <v>91</v>
      </c>
      <c r="D339" s="485">
        <v>4</v>
      </c>
      <c r="E339" s="77" t="s">
        <v>1022</v>
      </c>
      <c r="F339" s="394" t="s">
        <v>1032</v>
      </c>
      <c r="G339" s="26"/>
      <c r="H339" s="26"/>
      <c r="I339" s="26"/>
      <c r="J339" s="26"/>
    </row>
    <row r="340" spans="1:10" ht="15.95" customHeight="1">
      <c r="A340" s="169" t="s">
        <v>838</v>
      </c>
      <c r="B340" s="387">
        <v>43124</v>
      </c>
      <c r="C340" s="460" t="s">
        <v>91</v>
      </c>
      <c r="D340" s="485">
        <v>1.5</v>
      </c>
      <c r="E340" s="77" t="s">
        <v>1022</v>
      </c>
      <c r="F340" s="394"/>
      <c r="G340" s="26"/>
      <c r="H340" s="26"/>
      <c r="I340" s="26"/>
      <c r="J340" s="26"/>
    </row>
    <row r="341" spans="1:10" ht="15.95" customHeight="1">
      <c r="A341" s="133" t="s">
        <v>973</v>
      </c>
      <c r="B341" s="387">
        <v>43157</v>
      </c>
      <c r="C341" s="460" t="s">
        <v>91</v>
      </c>
      <c r="D341" s="483">
        <v>25</v>
      </c>
      <c r="E341" s="237" t="s">
        <v>17</v>
      </c>
      <c r="F341" s="388"/>
      <c r="G341" s="26"/>
      <c r="H341" s="26"/>
      <c r="I341" s="26"/>
      <c r="J341" s="26"/>
    </row>
    <row r="342" spans="1:10" ht="15.95" customHeight="1">
      <c r="A342" s="123" t="s">
        <v>1027</v>
      </c>
      <c r="B342" s="395">
        <v>43124</v>
      </c>
      <c r="C342" s="466" t="s">
        <v>91</v>
      </c>
      <c r="D342" s="485">
        <v>1</v>
      </c>
      <c r="E342" s="77" t="s">
        <v>1022</v>
      </c>
      <c r="F342" s="396" t="s">
        <v>1066</v>
      </c>
      <c r="G342" s="26"/>
      <c r="H342" s="26"/>
      <c r="I342" s="26"/>
      <c r="J342" s="26"/>
    </row>
    <row r="343" spans="1:10" ht="15.95" customHeight="1">
      <c r="A343" s="133" t="s">
        <v>837</v>
      </c>
      <c r="B343" s="387">
        <v>42923</v>
      </c>
      <c r="C343" s="461" t="s">
        <v>91</v>
      </c>
      <c r="D343" s="483">
        <v>1</v>
      </c>
      <c r="E343" s="238" t="s">
        <v>14</v>
      </c>
      <c r="F343" s="445" t="s">
        <v>853</v>
      </c>
      <c r="G343" s="26"/>
      <c r="H343" s="26"/>
      <c r="I343" s="26"/>
      <c r="J343" s="26"/>
    </row>
    <row r="344" spans="1:10" ht="15.95" customHeight="1">
      <c r="A344" s="169" t="s">
        <v>130</v>
      </c>
      <c r="B344" s="389">
        <v>41954</v>
      </c>
      <c r="C344" s="461" t="s">
        <v>91</v>
      </c>
      <c r="D344" s="484">
        <v>8</v>
      </c>
      <c r="E344" s="238" t="s">
        <v>1134</v>
      </c>
      <c r="F344" s="410" t="s">
        <v>234</v>
      </c>
      <c r="G344" s="26"/>
      <c r="H344" s="26"/>
      <c r="I344" s="26"/>
      <c r="J344" s="26"/>
    </row>
    <row r="345" spans="1:10" ht="15.95" customHeight="1">
      <c r="A345" s="169" t="s">
        <v>195</v>
      </c>
      <c r="B345" s="387">
        <v>41954</v>
      </c>
      <c r="C345" s="461" t="s">
        <v>91</v>
      </c>
      <c r="D345" s="483">
        <v>1</v>
      </c>
      <c r="E345" s="237" t="s">
        <v>1134</v>
      </c>
      <c r="F345" s="410" t="s">
        <v>234</v>
      </c>
      <c r="G345" s="26"/>
      <c r="H345" s="26"/>
      <c r="I345" s="26"/>
      <c r="J345" s="26"/>
    </row>
    <row r="346" spans="1:10" ht="15.95" customHeight="1">
      <c r="A346" s="169" t="s">
        <v>465</v>
      </c>
      <c r="B346" s="387">
        <v>42564</v>
      </c>
      <c r="C346" s="461" t="s">
        <v>91</v>
      </c>
      <c r="D346" s="483">
        <v>4</v>
      </c>
      <c r="E346" s="237" t="s">
        <v>14</v>
      </c>
      <c r="F346" s="410" t="s">
        <v>506</v>
      </c>
      <c r="G346" s="26"/>
      <c r="H346" s="26"/>
      <c r="I346" s="26"/>
      <c r="J346" s="26"/>
    </row>
    <row r="347" spans="1:10" ht="15.95" customHeight="1">
      <c r="A347" s="169" t="s">
        <v>547</v>
      </c>
      <c r="B347" s="414">
        <v>42753</v>
      </c>
      <c r="C347" s="471" t="s">
        <v>91</v>
      </c>
      <c r="D347" s="248">
        <v>2</v>
      </c>
      <c r="E347" s="241" t="s">
        <v>14</v>
      </c>
      <c r="F347" s="410" t="s">
        <v>656</v>
      </c>
      <c r="G347" s="26"/>
      <c r="H347" s="26"/>
      <c r="I347" s="26"/>
      <c r="J347" s="26"/>
    </row>
    <row r="348" spans="1:10" ht="15.95" customHeight="1">
      <c r="A348" s="169" t="s">
        <v>549</v>
      </c>
      <c r="B348" s="414">
        <v>42782</v>
      </c>
      <c r="C348" s="471" t="s">
        <v>91</v>
      </c>
      <c r="D348" s="248">
        <v>2</v>
      </c>
      <c r="E348" s="241" t="s">
        <v>14</v>
      </c>
      <c r="F348" s="410" t="s">
        <v>697</v>
      </c>
      <c r="G348" s="26"/>
      <c r="H348" s="26"/>
      <c r="I348" s="26"/>
      <c r="J348" s="26"/>
    </row>
    <row r="349" spans="1:10" ht="15.95" customHeight="1">
      <c r="A349" s="169" t="s">
        <v>548</v>
      </c>
      <c r="B349" s="414">
        <v>42782</v>
      </c>
      <c r="C349" s="471" t="s">
        <v>91</v>
      </c>
      <c r="D349" s="483">
        <v>4</v>
      </c>
      <c r="E349" s="241" t="s">
        <v>14</v>
      </c>
      <c r="F349" s="410" t="s">
        <v>1210</v>
      </c>
      <c r="G349" s="26"/>
      <c r="H349" s="26"/>
      <c r="I349" s="26"/>
      <c r="J349" s="26"/>
    </row>
    <row r="350" spans="1:10" ht="15.95" customHeight="1">
      <c r="A350" s="249" t="s">
        <v>593</v>
      </c>
      <c r="B350" s="442">
        <v>43217</v>
      </c>
      <c r="C350" s="246" t="s">
        <v>34</v>
      </c>
      <c r="D350" s="493">
        <v>36</v>
      </c>
      <c r="E350" s="239" t="s">
        <v>17</v>
      </c>
      <c r="F350" s="240"/>
      <c r="G350" s="26"/>
      <c r="H350" s="26"/>
      <c r="I350" s="26"/>
      <c r="J350" s="26"/>
    </row>
    <row r="351" spans="1:10" ht="15.95" customHeight="1">
      <c r="A351" s="249" t="s">
        <v>467</v>
      </c>
      <c r="B351" s="442">
        <v>43217</v>
      </c>
      <c r="C351" s="246" t="s">
        <v>34</v>
      </c>
      <c r="D351" s="493">
        <v>36</v>
      </c>
      <c r="E351" s="239" t="s">
        <v>17</v>
      </c>
      <c r="F351" s="240"/>
      <c r="G351" s="26"/>
      <c r="H351" s="26"/>
      <c r="I351" s="26"/>
      <c r="J351" s="26"/>
    </row>
    <row r="352" spans="1:10" ht="15.95" customHeight="1">
      <c r="A352" s="123" t="s">
        <v>567</v>
      </c>
      <c r="B352" s="393">
        <v>43217</v>
      </c>
      <c r="C352" s="460" t="s">
        <v>34</v>
      </c>
      <c r="D352" s="484">
        <v>36</v>
      </c>
      <c r="E352" s="239" t="s">
        <v>17</v>
      </c>
      <c r="F352" s="388"/>
      <c r="G352" s="26"/>
      <c r="H352" s="26"/>
      <c r="I352" s="26"/>
      <c r="J352" s="26"/>
    </row>
    <row r="353" spans="1:10" ht="15.95" customHeight="1">
      <c r="A353" s="249" t="s">
        <v>539</v>
      </c>
      <c r="B353" s="442">
        <v>43217</v>
      </c>
      <c r="C353" s="246" t="s">
        <v>34</v>
      </c>
      <c r="D353" s="493">
        <v>36</v>
      </c>
      <c r="E353" s="239" t="s">
        <v>17</v>
      </c>
      <c r="F353" s="240"/>
      <c r="G353" s="26"/>
      <c r="H353" s="26"/>
      <c r="I353" s="26"/>
      <c r="J353" s="26"/>
    </row>
    <row r="354" spans="1:10" ht="15.95" customHeight="1">
      <c r="A354" s="249" t="s">
        <v>524</v>
      </c>
      <c r="B354" s="442">
        <v>43217</v>
      </c>
      <c r="C354" s="246" t="s">
        <v>34</v>
      </c>
      <c r="D354" s="493">
        <v>36</v>
      </c>
      <c r="E354" s="239" t="s">
        <v>17</v>
      </c>
      <c r="F354" s="240" t="s">
        <v>1274</v>
      </c>
      <c r="G354" s="26"/>
      <c r="H354" s="26"/>
      <c r="I354" s="26"/>
      <c r="J354" s="26"/>
    </row>
    <row r="355" spans="1:10" ht="15.95" customHeight="1">
      <c r="A355" s="249" t="s">
        <v>561</v>
      </c>
      <c r="B355" s="442">
        <v>43217</v>
      </c>
      <c r="C355" s="246" t="s">
        <v>34</v>
      </c>
      <c r="D355" s="493">
        <v>36</v>
      </c>
      <c r="E355" s="239" t="s">
        <v>17</v>
      </c>
      <c r="F355" s="240" t="s">
        <v>1274</v>
      </c>
      <c r="G355" s="26"/>
      <c r="H355" s="26"/>
      <c r="I355" s="26"/>
      <c r="J355" s="26"/>
    </row>
    <row r="356" spans="1:10" ht="15.95" customHeight="1">
      <c r="A356" s="249" t="s">
        <v>1275</v>
      </c>
      <c r="B356" s="442">
        <v>43217</v>
      </c>
      <c r="C356" s="246" t="s">
        <v>34</v>
      </c>
      <c r="D356" s="493">
        <v>36</v>
      </c>
      <c r="E356" s="239" t="s">
        <v>17</v>
      </c>
      <c r="F356" s="240" t="s">
        <v>1274</v>
      </c>
      <c r="G356" s="26"/>
      <c r="H356" s="26"/>
      <c r="I356" s="26"/>
      <c r="J356" s="26"/>
    </row>
    <row r="357" spans="1:10" ht="15.95" customHeight="1">
      <c r="A357" s="249" t="s">
        <v>1276</v>
      </c>
      <c r="B357" s="442">
        <v>43217</v>
      </c>
      <c r="C357" s="246" t="s">
        <v>34</v>
      </c>
      <c r="D357" s="493">
        <v>36</v>
      </c>
      <c r="E357" s="239" t="s">
        <v>17</v>
      </c>
      <c r="F357" s="240" t="s">
        <v>1274</v>
      </c>
      <c r="G357" s="26"/>
      <c r="H357" s="26"/>
      <c r="I357" s="26"/>
      <c r="J357" s="26"/>
    </row>
    <row r="358" spans="1:10" ht="15.95" customHeight="1">
      <c r="A358" s="85" t="s">
        <v>1277</v>
      </c>
      <c r="B358" s="446">
        <v>43217</v>
      </c>
      <c r="C358" s="87" t="s">
        <v>34</v>
      </c>
      <c r="D358" s="494">
        <v>0</v>
      </c>
      <c r="E358" s="86" t="s">
        <v>17</v>
      </c>
      <c r="F358" s="240" t="s">
        <v>1274</v>
      </c>
      <c r="G358" s="26"/>
      <c r="H358" s="26"/>
      <c r="I358" s="26"/>
      <c r="J358" s="26"/>
    </row>
    <row r="359" spans="1:10" ht="15.95" customHeight="1">
      <c r="A359" s="85" t="s">
        <v>1278</v>
      </c>
      <c r="B359" s="446">
        <v>43217</v>
      </c>
      <c r="C359" s="87" t="s">
        <v>34</v>
      </c>
      <c r="D359" s="494">
        <v>0</v>
      </c>
      <c r="E359" s="86" t="s">
        <v>17</v>
      </c>
      <c r="F359" s="240" t="s">
        <v>1274</v>
      </c>
      <c r="G359" s="26"/>
      <c r="H359" s="26"/>
      <c r="I359" s="26"/>
      <c r="J359" s="26"/>
    </row>
    <row r="360" spans="1:10" ht="15.95" customHeight="1">
      <c r="A360" s="169" t="s">
        <v>190</v>
      </c>
      <c r="B360" s="395">
        <v>43157</v>
      </c>
      <c r="C360" s="466" t="s">
        <v>1069</v>
      </c>
      <c r="D360" s="485">
        <v>36</v>
      </c>
      <c r="E360" s="77" t="s">
        <v>17</v>
      </c>
      <c r="F360" s="388"/>
      <c r="G360" s="26"/>
      <c r="H360" s="26"/>
      <c r="I360" s="26"/>
      <c r="J360" s="26"/>
    </row>
    <row r="361" spans="1:10" ht="15.95" customHeight="1">
      <c r="A361" s="249" t="s">
        <v>717</v>
      </c>
      <c r="B361" s="395">
        <v>43060</v>
      </c>
      <c r="C361" s="462" t="s">
        <v>341</v>
      </c>
      <c r="D361" s="485">
        <v>20</v>
      </c>
      <c r="E361" s="77" t="s">
        <v>17</v>
      </c>
      <c r="F361" s="394"/>
      <c r="G361" s="26"/>
      <c r="H361" s="26"/>
      <c r="I361" s="26"/>
      <c r="J361" s="26"/>
    </row>
    <row r="362" spans="1:10" ht="15.95" customHeight="1">
      <c r="A362" s="169" t="s">
        <v>496</v>
      </c>
      <c r="B362" s="395">
        <v>43124</v>
      </c>
      <c r="C362" s="466" t="s">
        <v>341</v>
      </c>
      <c r="D362" s="485">
        <v>36</v>
      </c>
      <c r="E362" s="77" t="s">
        <v>17</v>
      </c>
      <c r="F362" s="394"/>
      <c r="G362" s="26"/>
      <c r="H362" s="26"/>
      <c r="I362" s="26"/>
      <c r="J362" s="26"/>
    </row>
    <row r="363" spans="1:10" ht="15.95" customHeight="1">
      <c r="A363" s="169" t="s">
        <v>188</v>
      </c>
      <c r="B363" s="387">
        <v>43124</v>
      </c>
      <c r="C363" s="467" t="s">
        <v>341</v>
      </c>
      <c r="D363" s="485">
        <v>36</v>
      </c>
      <c r="E363" s="77" t="s">
        <v>17</v>
      </c>
      <c r="F363" s="394"/>
      <c r="G363" s="26"/>
      <c r="H363" s="26"/>
      <c r="I363" s="26"/>
      <c r="J363" s="26"/>
    </row>
    <row r="364" spans="1:10" ht="15.95" customHeight="1">
      <c r="A364" s="294"/>
      <c r="B364" s="447" t="s">
        <v>144</v>
      </c>
      <c r="C364" s="477" t="s">
        <v>865</v>
      </c>
      <c r="D364" s="295" t="s">
        <v>145</v>
      </c>
      <c r="E364" s="447"/>
      <c r="F364" s="447" t="s">
        <v>866</v>
      </c>
      <c r="G364" s="26"/>
      <c r="H364" s="26"/>
      <c r="I364" s="26"/>
      <c r="J364" s="26"/>
    </row>
    <row r="365" spans="1:10" ht="15.95" customHeight="1">
      <c r="A365" s="169" t="s">
        <v>51</v>
      </c>
      <c r="B365" s="389">
        <v>42107</v>
      </c>
      <c r="C365" s="460" t="s">
        <v>232</v>
      </c>
      <c r="D365" s="483">
        <v>9</v>
      </c>
      <c r="E365" s="243" t="s">
        <v>1160</v>
      </c>
      <c r="F365" s="390"/>
      <c r="G365" s="26"/>
      <c r="H365" s="26"/>
      <c r="I365" s="26"/>
      <c r="J365" s="26"/>
    </row>
    <row r="366" spans="1:10" ht="15.95" customHeight="1">
      <c r="A366" s="249" t="s">
        <v>488</v>
      </c>
      <c r="B366" s="387">
        <v>42716</v>
      </c>
      <c r="C366" s="375" t="s">
        <v>378</v>
      </c>
      <c r="D366" s="483">
        <v>3</v>
      </c>
      <c r="E366" s="242" t="s">
        <v>17</v>
      </c>
      <c r="F366" s="405" t="s">
        <v>33</v>
      </c>
      <c r="G366" s="26"/>
      <c r="H366" s="26"/>
      <c r="I366" s="26"/>
      <c r="J366" s="26"/>
    </row>
    <row r="367" spans="1:10" ht="15.95" customHeight="1">
      <c r="A367" s="169" t="s">
        <v>76</v>
      </c>
      <c r="B367" s="389" t="s">
        <v>126</v>
      </c>
      <c r="C367" s="461" t="s">
        <v>128</v>
      </c>
      <c r="D367" s="484">
        <v>2</v>
      </c>
      <c r="E367" s="238" t="s">
        <v>17</v>
      </c>
      <c r="F367" s="410" t="s">
        <v>342</v>
      </c>
      <c r="G367" s="26"/>
      <c r="H367" s="26"/>
      <c r="I367" s="26"/>
      <c r="J367" s="26"/>
    </row>
    <row r="368" spans="1:10" ht="15.95" customHeight="1">
      <c r="A368" s="169" t="s">
        <v>427</v>
      </c>
      <c r="B368" s="387"/>
      <c r="C368" s="461" t="s">
        <v>545</v>
      </c>
      <c r="D368" s="483">
        <v>1</v>
      </c>
      <c r="E368" s="242" t="s">
        <v>17</v>
      </c>
      <c r="F368" s="410" t="s">
        <v>554</v>
      </c>
      <c r="G368" s="26"/>
      <c r="H368" s="26"/>
      <c r="I368" s="26"/>
      <c r="J368" s="26"/>
    </row>
    <row r="369" spans="1:10" ht="15.95" customHeight="1">
      <c r="A369" s="169" t="s">
        <v>174</v>
      </c>
      <c r="B369" s="387">
        <v>42156</v>
      </c>
      <c r="C369" s="461" t="s">
        <v>251</v>
      </c>
      <c r="D369" s="483">
        <v>1</v>
      </c>
      <c r="E369" s="237" t="s">
        <v>17</v>
      </c>
      <c r="F369" s="410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3">
        <v>42977</v>
      </c>
      <c r="C370" s="478" t="s">
        <v>487</v>
      </c>
      <c r="D370" s="484">
        <v>11</v>
      </c>
      <c r="E370" s="239" t="s">
        <v>17</v>
      </c>
      <c r="F370" s="394"/>
      <c r="G370" s="26"/>
      <c r="H370" s="26"/>
      <c r="I370" s="26"/>
      <c r="J370" s="26"/>
    </row>
    <row r="371" spans="1:10" ht="15.95" customHeight="1">
      <c r="A371" s="169" t="s">
        <v>464</v>
      </c>
      <c r="B371" s="395">
        <v>43124</v>
      </c>
      <c r="C371" s="462" t="s">
        <v>323</v>
      </c>
      <c r="D371" s="485">
        <v>28</v>
      </c>
      <c r="E371" s="238" t="s">
        <v>18</v>
      </c>
      <c r="F371" s="394"/>
      <c r="G371" s="26"/>
      <c r="H371" s="26"/>
      <c r="I371" s="26"/>
      <c r="J371" s="26"/>
    </row>
    <row r="372" spans="1:10" ht="15.95" customHeight="1">
      <c r="A372" s="169" t="s">
        <v>464</v>
      </c>
      <c r="B372" s="395">
        <v>43124</v>
      </c>
      <c r="C372" s="462" t="s">
        <v>323</v>
      </c>
      <c r="D372" s="485">
        <v>1</v>
      </c>
      <c r="E372" s="77" t="s">
        <v>17</v>
      </c>
      <c r="F372" s="394"/>
      <c r="G372" s="26"/>
      <c r="H372" s="26"/>
      <c r="I372" s="26"/>
      <c r="J372" s="26"/>
    </row>
    <row r="373" spans="1:10" ht="15.95" customHeight="1">
      <c r="A373" s="169" t="s">
        <v>453</v>
      </c>
      <c r="B373" s="393">
        <v>42564</v>
      </c>
      <c r="C373" s="460" t="s">
        <v>323</v>
      </c>
      <c r="D373" s="484">
        <v>2</v>
      </c>
      <c r="E373" s="239" t="s">
        <v>17</v>
      </c>
      <c r="F373" s="415" t="s">
        <v>1025</v>
      </c>
      <c r="G373" s="26"/>
      <c r="H373" s="26"/>
      <c r="I373" s="26"/>
      <c r="J373" s="26"/>
    </row>
    <row r="374" spans="1:10" ht="15.95" customHeight="1">
      <c r="A374" s="169" t="s">
        <v>453</v>
      </c>
      <c r="B374" s="393">
        <v>42564</v>
      </c>
      <c r="C374" s="460" t="s">
        <v>323</v>
      </c>
      <c r="D374" s="484">
        <v>1</v>
      </c>
      <c r="E374" s="239" t="s">
        <v>17</v>
      </c>
      <c r="F374" s="415" t="s">
        <v>802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7">
        <v>41954</v>
      </c>
      <c r="C375" s="461" t="s">
        <v>176</v>
      </c>
      <c r="D375" s="483">
        <v>10.83</v>
      </c>
      <c r="E375" s="237" t="s">
        <v>17</v>
      </c>
      <c r="F375" s="406"/>
      <c r="G375" s="26"/>
      <c r="H375" s="26"/>
      <c r="I375" s="26"/>
      <c r="J375" s="26"/>
    </row>
    <row r="376" spans="1:10" ht="15.95" customHeight="1">
      <c r="A376" s="249" t="s">
        <v>453</v>
      </c>
      <c r="B376" s="395">
        <v>43172</v>
      </c>
      <c r="C376" s="460" t="s">
        <v>449</v>
      </c>
      <c r="D376" s="485">
        <v>4</v>
      </c>
      <c r="E376" s="77" t="s">
        <v>17</v>
      </c>
      <c r="F376" s="394"/>
      <c r="G376" s="26"/>
      <c r="H376" s="26"/>
      <c r="I376" s="26"/>
      <c r="J376" s="26"/>
    </row>
    <row r="377" spans="1:10" ht="15.95" customHeight="1">
      <c r="A377" s="85" t="s">
        <v>525</v>
      </c>
      <c r="B377" s="399">
        <v>43172</v>
      </c>
      <c r="C377" s="473" t="s">
        <v>449</v>
      </c>
      <c r="D377" s="486">
        <v>0</v>
      </c>
      <c r="E377" s="86" t="s">
        <v>17</v>
      </c>
      <c r="F377" s="394"/>
      <c r="G377" s="26"/>
      <c r="H377" s="26"/>
      <c r="I377" s="26"/>
      <c r="J377" s="26"/>
    </row>
    <row r="378" spans="1:10" ht="15.95" customHeight="1">
      <c r="A378" s="169" t="s">
        <v>568</v>
      </c>
      <c r="B378" s="395">
        <v>43172</v>
      </c>
      <c r="C378" s="460" t="s">
        <v>449</v>
      </c>
      <c r="D378" s="485">
        <v>1</v>
      </c>
      <c r="E378" s="77" t="s">
        <v>17</v>
      </c>
      <c r="F378" s="394" t="s">
        <v>1282</v>
      </c>
      <c r="G378" s="26"/>
      <c r="H378" s="26"/>
      <c r="I378" s="26"/>
      <c r="J378" s="26"/>
    </row>
    <row r="379" spans="1:10" ht="15.95" customHeight="1">
      <c r="A379" s="169" t="s">
        <v>379</v>
      </c>
      <c r="B379" s="387"/>
      <c r="C379" s="461" t="s">
        <v>449</v>
      </c>
      <c r="D379" s="483">
        <v>1</v>
      </c>
      <c r="E379" s="237" t="s">
        <v>17</v>
      </c>
      <c r="F379" s="392" t="s">
        <v>414</v>
      </c>
      <c r="G379" s="26"/>
      <c r="H379" s="26"/>
      <c r="I379" s="26"/>
      <c r="J379" s="26"/>
    </row>
    <row r="380" spans="1:10" ht="15.95" customHeight="1">
      <c r="A380" s="169" t="s">
        <v>379</v>
      </c>
      <c r="B380" s="387"/>
      <c r="C380" s="461" t="s">
        <v>449</v>
      </c>
      <c r="D380" s="483">
        <v>1</v>
      </c>
      <c r="E380" s="237" t="s">
        <v>17</v>
      </c>
      <c r="F380" s="392" t="s">
        <v>414</v>
      </c>
      <c r="G380" s="26"/>
      <c r="H380" s="26"/>
      <c r="I380" s="26"/>
      <c r="J380" s="26"/>
    </row>
    <row r="381" spans="1:10" ht="15.95" customHeight="1">
      <c r="A381" s="169" t="s">
        <v>464</v>
      </c>
      <c r="B381" s="395">
        <v>43124</v>
      </c>
      <c r="C381" s="462" t="s">
        <v>1024</v>
      </c>
      <c r="D381" s="485">
        <v>1</v>
      </c>
      <c r="E381" s="77" t="s">
        <v>17</v>
      </c>
      <c r="F381" s="390"/>
      <c r="G381" s="26"/>
      <c r="H381" s="26"/>
      <c r="I381" s="26"/>
      <c r="J381" s="26"/>
    </row>
    <row r="382" spans="1:10" ht="15.95" customHeight="1">
      <c r="A382" s="169" t="s">
        <v>503</v>
      </c>
      <c r="B382" s="387">
        <v>42354</v>
      </c>
      <c r="C382" s="461" t="s">
        <v>360</v>
      </c>
      <c r="D382" s="483">
        <v>1</v>
      </c>
      <c r="E382" s="237" t="s">
        <v>17</v>
      </c>
      <c r="F382" s="410" t="s">
        <v>597</v>
      </c>
      <c r="G382" s="26"/>
      <c r="H382" s="26"/>
      <c r="I382" s="26"/>
      <c r="J382" s="26"/>
    </row>
    <row r="383" spans="1:10" ht="15.95" customHeight="1">
      <c r="A383" s="249" t="s">
        <v>534</v>
      </c>
      <c r="B383" s="387">
        <v>42564</v>
      </c>
      <c r="C383" s="461" t="s">
        <v>436</v>
      </c>
      <c r="D383" s="483">
        <v>3</v>
      </c>
      <c r="E383" s="237" t="s">
        <v>17</v>
      </c>
      <c r="F383" s="405"/>
      <c r="G383" s="26"/>
      <c r="H383" s="26"/>
      <c r="I383" s="26"/>
      <c r="J383" s="26"/>
    </row>
    <row r="384" spans="1:10" ht="15.95" customHeight="1">
      <c r="A384" s="123" t="s">
        <v>587</v>
      </c>
      <c r="B384" s="393">
        <v>43161</v>
      </c>
      <c r="C384" s="460" t="s">
        <v>151</v>
      </c>
      <c r="D384" s="484">
        <v>36</v>
      </c>
      <c r="E384" s="239" t="s">
        <v>17</v>
      </c>
      <c r="F384" s="388"/>
      <c r="G384" s="26"/>
      <c r="H384" s="26"/>
      <c r="I384" s="26"/>
      <c r="J384" s="26"/>
    </row>
    <row r="385" spans="1:10" ht="15.95" customHeight="1">
      <c r="A385" s="123" t="s">
        <v>115</v>
      </c>
      <c r="B385" s="393">
        <v>43174</v>
      </c>
      <c r="C385" s="375" t="s">
        <v>194</v>
      </c>
      <c r="D385" s="484">
        <v>11</v>
      </c>
      <c r="E385" s="239" t="s">
        <v>14</v>
      </c>
      <c r="F385" s="396"/>
      <c r="G385" s="26"/>
      <c r="H385" s="26"/>
      <c r="I385" s="26"/>
      <c r="J385" s="26"/>
    </row>
    <row r="386" spans="1:10" ht="15.95" customHeight="1">
      <c r="A386" s="123" t="s">
        <v>975</v>
      </c>
      <c r="B386" s="395">
        <v>43109</v>
      </c>
      <c r="C386" s="460" t="s">
        <v>992</v>
      </c>
      <c r="D386" s="485">
        <v>14</v>
      </c>
      <c r="E386" s="77" t="s">
        <v>17</v>
      </c>
      <c r="F386" s="394"/>
      <c r="G386" s="26"/>
      <c r="H386" s="26"/>
      <c r="I386" s="26"/>
      <c r="J386" s="26"/>
    </row>
    <row r="387" spans="1:10" ht="15.95" customHeight="1">
      <c r="A387" s="249" t="s">
        <v>993</v>
      </c>
      <c r="B387" s="395">
        <v>43109</v>
      </c>
      <c r="C387" s="466" t="s">
        <v>992</v>
      </c>
      <c r="D387" s="485">
        <v>56</v>
      </c>
      <c r="E387" s="77" t="s">
        <v>17</v>
      </c>
      <c r="F387" s="388"/>
      <c r="G387" s="26"/>
      <c r="H387" s="26"/>
      <c r="I387" s="26"/>
      <c r="J387" s="26"/>
    </row>
    <row r="388" spans="1:10" ht="15.95" customHeight="1">
      <c r="A388" s="169" t="s">
        <v>589</v>
      </c>
      <c r="B388" s="389">
        <v>41921</v>
      </c>
      <c r="C388" s="461" t="s">
        <v>125</v>
      </c>
      <c r="D388" s="484">
        <v>3.9</v>
      </c>
      <c r="E388" s="238" t="s">
        <v>18</v>
      </c>
      <c r="F388" s="418"/>
      <c r="G388" s="26"/>
      <c r="H388" s="26"/>
      <c r="I388" s="26"/>
      <c r="J388" s="26"/>
    </row>
    <row r="389" spans="1:10" ht="15.95" customHeight="1">
      <c r="A389" s="169" t="s">
        <v>589</v>
      </c>
      <c r="B389" s="389">
        <v>41921</v>
      </c>
      <c r="C389" s="461" t="s">
        <v>125</v>
      </c>
      <c r="D389" s="484">
        <v>2</v>
      </c>
      <c r="E389" s="238" t="s">
        <v>18</v>
      </c>
      <c r="F389" s="415"/>
      <c r="G389" s="26"/>
      <c r="H389" s="26"/>
      <c r="I389" s="26"/>
      <c r="J389" s="26"/>
    </row>
    <row r="390" spans="1:10" ht="15.95" customHeight="1">
      <c r="A390" s="249" t="s">
        <v>488</v>
      </c>
      <c r="B390" s="395">
        <v>43109</v>
      </c>
      <c r="C390" s="467" t="s">
        <v>1250</v>
      </c>
      <c r="D390" s="485">
        <v>4</v>
      </c>
      <c r="E390" s="77" t="s">
        <v>17</v>
      </c>
      <c r="F390" s="388" t="s">
        <v>1254</v>
      </c>
      <c r="G390" s="26"/>
      <c r="H390" s="26"/>
      <c r="I390" s="26"/>
      <c r="J390" s="26"/>
    </row>
    <row r="391" spans="1:10" ht="15.95" customHeight="1">
      <c r="A391" s="169" t="s">
        <v>349</v>
      </c>
      <c r="B391" s="387">
        <v>42345</v>
      </c>
      <c r="C391" s="461" t="s">
        <v>355</v>
      </c>
      <c r="D391" s="483">
        <v>3.57</v>
      </c>
      <c r="E391" s="237" t="s">
        <v>17</v>
      </c>
      <c r="F391" s="410" t="s">
        <v>374</v>
      </c>
      <c r="G391" s="26"/>
      <c r="H391" s="26"/>
      <c r="I391" s="26"/>
      <c r="J391" s="26"/>
    </row>
    <row r="392" spans="1:10" ht="15.95" customHeight="1">
      <c r="A392" s="169" t="s">
        <v>379</v>
      </c>
      <c r="B392" s="393">
        <v>42776</v>
      </c>
      <c r="C392" s="460" t="s">
        <v>617</v>
      </c>
      <c r="D392" s="484">
        <v>1</v>
      </c>
      <c r="E392" s="239" t="s">
        <v>17</v>
      </c>
      <c r="F392" s="415" t="s">
        <v>1170</v>
      </c>
      <c r="G392" s="26"/>
      <c r="H392" s="26"/>
      <c r="I392" s="26"/>
      <c r="J392" s="26"/>
    </row>
    <row r="393" spans="1:10" ht="15.95" customHeight="1">
      <c r="A393" s="169" t="s">
        <v>379</v>
      </c>
      <c r="B393" s="391">
        <v>42713</v>
      </c>
      <c r="C393" s="461" t="s">
        <v>532</v>
      </c>
      <c r="D393" s="484">
        <v>1</v>
      </c>
      <c r="E393" s="238" t="s">
        <v>17</v>
      </c>
      <c r="F393" s="400" t="s">
        <v>695</v>
      </c>
      <c r="G393" s="26"/>
      <c r="H393" s="26"/>
      <c r="I393" s="26"/>
      <c r="J393" s="26"/>
    </row>
    <row r="394" spans="1:10" ht="15.95" customHeight="1">
      <c r="A394" s="169" t="s">
        <v>495</v>
      </c>
      <c r="B394" s="395">
        <v>43124</v>
      </c>
      <c r="C394" s="466" t="s">
        <v>438</v>
      </c>
      <c r="D394" s="485">
        <v>1</v>
      </c>
      <c r="E394" s="77" t="s">
        <v>17</v>
      </c>
      <c r="F394" s="388"/>
      <c r="G394" s="26"/>
      <c r="H394" s="26"/>
      <c r="I394" s="26"/>
      <c r="J394" s="26"/>
    </row>
    <row r="395" spans="1:10" ht="15.95" customHeight="1">
      <c r="A395" s="169" t="s">
        <v>699</v>
      </c>
      <c r="B395" s="387">
        <v>42643</v>
      </c>
      <c r="C395" s="461" t="s">
        <v>438</v>
      </c>
      <c r="D395" s="483">
        <v>15</v>
      </c>
      <c r="E395" s="237" t="s">
        <v>17</v>
      </c>
      <c r="F395" s="405" t="s">
        <v>1070</v>
      </c>
      <c r="G395" s="26"/>
      <c r="H395" s="26"/>
      <c r="I395" s="26"/>
      <c r="J395" s="26"/>
    </row>
    <row r="396" spans="1:10" ht="15.95" customHeight="1">
      <c r="A396" s="249" t="s">
        <v>990</v>
      </c>
      <c r="B396" s="395">
        <v>42894</v>
      </c>
      <c r="C396" s="466" t="s">
        <v>775</v>
      </c>
      <c r="D396" s="485">
        <v>1</v>
      </c>
      <c r="E396" s="77" t="s">
        <v>17</v>
      </c>
      <c r="F396" s="388"/>
      <c r="G396" s="26"/>
      <c r="H396" s="26"/>
      <c r="I396" s="26"/>
      <c r="J396" s="26"/>
    </row>
    <row r="397" spans="1:10" ht="15.95" customHeight="1">
      <c r="A397" s="133"/>
      <c r="B397" s="387">
        <v>43060</v>
      </c>
      <c r="C397" s="460" t="s">
        <v>928</v>
      </c>
      <c r="D397" s="483">
        <v>1</v>
      </c>
      <c r="E397" s="243" t="s">
        <v>1160</v>
      </c>
      <c r="F397" s="388"/>
      <c r="G397" s="26"/>
      <c r="H397" s="26"/>
      <c r="I397" s="26"/>
      <c r="J397" s="26"/>
    </row>
    <row r="398" spans="1:10" ht="15.95" customHeight="1">
      <c r="A398" s="249" t="s">
        <v>534</v>
      </c>
      <c r="B398" s="387">
        <v>42544</v>
      </c>
      <c r="C398" s="461" t="s">
        <v>430</v>
      </c>
      <c r="D398" s="483">
        <v>3.8</v>
      </c>
      <c r="E398" s="237" t="s">
        <v>17</v>
      </c>
      <c r="F398" s="415"/>
      <c r="G398" s="26"/>
      <c r="H398" s="26"/>
      <c r="I398" s="26"/>
      <c r="J398" s="26"/>
    </row>
    <row r="399" spans="1:10" ht="15.95" customHeight="1">
      <c r="A399" s="169" t="s">
        <v>206</v>
      </c>
      <c r="B399" s="395">
        <v>43168</v>
      </c>
      <c r="C399" s="466" t="s">
        <v>712</v>
      </c>
      <c r="D399" s="485">
        <v>2</v>
      </c>
      <c r="E399" s="77" t="s">
        <v>17</v>
      </c>
      <c r="F399" s="388"/>
      <c r="G399" s="26"/>
      <c r="H399" s="26"/>
      <c r="I399" s="26"/>
      <c r="J399" s="26"/>
    </row>
    <row r="400" spans="1:10" ht="15.95" customHeight="1">
      <c r="A400" s="169" t="s">
        <v>206</v>
      </c>
      <c r="B400" s="395">
        <v>43168</v>
      </c>
      <c r="C400" s="466" t="s">
        <v>712</v>
      </c>
      <c r="D400" s="485">
        <v>11</v>
      </c>
      <c r="E400" s="77" t="s">
        <v>17</v>
      </c>
      <c r="F400" s="388"/>
      <c r="G400" s="26"/>
      <c r="H400" s="26"/>
      <c r="I400" s="26"/>
      <c r="J400" s="26"/>
    </row>
    <row r="401" spans="1:10" ht="15.95" customHeight="1">
      <c r="A401" s="169" t="s">
        <v>461</v>
      </c>
      <c r="B401" s="393">
        <v>42948</v>
      </c>
      <c r="C401" s="460" t="s">
        <v>766</v>
      </c>
      <c r="D401" s="484">
        <v>6</v>
      </c>
      <c r="E401" s="239" t="s">
        <v>17</v>
      </c>
      <c r="F401" s="394"/>
      <c r="G401" s="26"/>
      <c r="H401" s="26"/>
      <c r="I401" s="26"/>
      <c r="J401" s="26"/>
    </row>
    <row r="402" spans="1:10" ht="15.95" customHeight="1">
      <c r="A402" s="123" t="s">
        <v>515</v>
      </c>
      <c r="B402" s="393">
        <v>43074</v>
      </c>
      <c r="C402" s="460" t="s">
        <v>583</v>
      </c>
      <c r="D402" s="484">
        <v>8</v>
      </c>
      <c r="E402" s="239" t="s">
        <v>17</v>
      </c>
      <c r="F402" s="394"/>
      <c r="G402" s="26"/>
      <c r="H402" s="26"/>
      <c r="I402" s="26"/>
      <c r="J402" s="26"/>
    </row>
    <row r="403" spans="1:10" ht="15.95" customHeight="1">
      <c r="A403" s="169" t="s">
        <v>461</v>
      </c>
      <c r="B403" s="393">
        <v>42948</v>
      </c>
      <c r="C403" s="460" t="s">
        <v>583</v>
      </c>
      <c r="D403" s="484">
        <v>3</v>
      </c>
      <c r="E403" s="239" t="s">
        <v>17</v>
      </c>
      <c r="F403" s="394"/>
      <c r="G403" s="26"/>
      <c r="H403" s="26"/>
      <c r="I403" s="26"/>
      <c r="J403" s="26"/>
    </row>
    <row r="404" spans="1:10" ht="15.95" customHeight="1">
      <c r="A404" s="169" t="s">
        <v>652</v>
      </c>
      <c r="B404" s="395">
        <v>42772</v>
      </c>
      <c r="C404" s="460" t="s">
        <v>586</v>
      </c>
      <c r="D404" s="485">
        <v>1</v>
      </c>
      <c r="E404" s="77" t="s">
        <v>17</v>
      </c>
      <c r="F404" s="394"/>
      <c r="G404" s="26"/>
      <c r="H404" s="26"/>
      <c r="I404" s="26"/>
      <c r="J404" s="26"/>
    </row>
    <row r="405" spans="1:10" ht="15.95" customHeight="1">
      <c r="A405" s="169" t="s">
        <v>461</v>
      </c>
      <c r="B405" s="393">
        <v>42948</v>
      </c>
      <c r="C405" s="460" t="s">
        <v>586</v>
      </c>
      <c r="D405" s="484">
        <v>5</v>
      </c>
      <c r="E405" s="239" t="s">
        <v>17</v>
      </c>
      <c r="F405" s="394"/>
      <c r="G405" s="26"/>
      <c r="H405" s="26"/>
      <c r="I405" s="26"/>
      <c r="J405" s="26"/>
    </row>
    <row r="406" spans="1:10" ht="15.95" customHeight="1">
      <c r="A406" s="133" t="s">
        <v>527</v>
      </c>
      <c r="B406" s="387">
        <v>41885</v>
      </c>
      <c r="C406" s="460" t="s">
        <v>80</v>
      </c>
      <c r="D406" s="483">
        <v>10</v>
      </c>
      <c r="E406" s="237" t="s">
        <v>18</v>
      </c>
      <c r="F406" s="406" t="s">
        <v>804</v>
      </c>
      <c r="G406" s="26"/>
      <c r="H406" s="26"/>
      <c r="I406" s="26"/>
      <c r="J406" s="26"/>
    </row>
    <row r="407" spans="1:10" ht="15.95" customHeight="1">
      <c r="A407" s="133" t="s">
        <v>842</v>
      </c>
      <c r="B407" s="387">
        <v>41885</v>
      </c>
      <c r="C407" s="461" t="s">
        <v>80</v>
      </c>
      <c r="D407" s="483">
        <v>1</v>
      </c>
      <c r="E407" s="237" t="s">
        <v>18</v>
      </c>
      <c r="F407" s="429" t="s">
        <v>812</v>
      </c>
      <c r="G407" s="26"/>
      <c r="H407" s="26"/>
      <c r="I407" s="26"/>
      <c r="J407" s="26"/>
    </row>
    <row r="408" spans="1:10" ht="15.95" customHeight="1">
      <c r="A408" s="133"/>
      <c r="B408" s="387">
        <v>43060</v>
      </c>
      <c r="C408" s="460" t="s">
        <v>925</v>
      </c>
      <c r="D408" s="483">
        <v>3</v>
      </c>
      <c r="E408" s="243" t="s">
        <v>1160</v>
      </c>
      <c r="F408" s="388"/>
      <c r="G408" s="26"/>
      <c r="H408" s="26"/>
      <c r="I408" s="26"/>
      <c r="J408" s="26"/>
    </row>
    <row r="409" spans="1:10" ht="15.95" customHeight="1">
      <c r="A409" s="123" t="s">
        <v>485</v>
      </c>
      <c r="B409" s="393">
        <v>43140</v>
      </c>
      <c r="C409" s="375" t="s">
        <v>263</v>
      </c>
      <c r="D409" s="484">
        <v>9</v>
      </c>
      <c r="E409" s="239" t="s">
        <v>17</v>
      </c>
      <c r="F409" s="396"/>
      <c r="G409" s="26"/>
      <c r="H409" s="26"/>
      <c r="I409" s="26"/>
      <c r="J409" s="26"/>
    </row>
    <row r="410" spans="1:10" ht="15.95" customHeight="1">
      <c r="A410" s="51" t="s">
        <v>618</v>
      </c>
      <c r="B410" s="399">
        <v>43140</v>
      </c>
      <c r="C410" s="465" t="s">
        <v>263</v>
      </c>
      <c r="D410" s="486">
        <v>0</v>
      </c>
      <c r="E410" s="86" t="s">
        <v>17</v>
      </c>
      <c r="F410" s="396"/>
      <c r="G410" s="26"/>
      <c r="H410" s="26"/>
      <c r="I410" s="26"/>
      <c r="J410" s="26"/>
    </row>
    <row r="411" spans="1:10" ht="15.95" customHeight="1">
      <c r="A411" s="169" t="s">
        <v>174</v>
      </c>
      <c r="B411" s="395">
        <v>43168</v>
      </c>
      <c r="C411" s="375" t="s">
        <v>263</v>
      </c>
      <c r="D411" s="485">
        <v>18</v>
      </c>
      <c r="E411" s="77" t="s">
        <v>17</v>
      </c>
      <c r="F411" s="448"/>
      <c r="G411" s="26"/>
      <c r="H411" s="26"/>
      <c r="I411" s="26"/>
      <c r="J411" s="26"/>
    </row>
    <row r="412" spans="1:10" ht="15.95" customHeight="1">
      <c r="A412" s="169" t="s">
        <v>427</v>
      </c>
      <c r="B412" s="389">
        <v>42810</v>
      </c>
      <c r="C412" s="461" t="s">
        <v>619</v>
      </c>
      <c r="D412" s="483">
        <v>6</v>
      </c>
      <c r="E412" s="238" t="s">
        <v>17</v>
      </c>
      <c r="F412" s="390" t="s">
        <v>64</v>
      </c>
      <c r="G412" s="26"/>
      <c r="H412" s="26"/>
      <c r="I412" s="26"/>
      <c r="J412" s="26"/>
    </row>
    <row r="413" spans="1:10" ht="15.95" customHeight="1">
      <c r="A413" s="169" t="s">
        <v>589</v>
      </c>
      <c r="B413" s="387"/>
      <c r="C413" s="461" t="s">
        <v>98</v>
      </c>
      <c r="D413" s="483">
        <v>1</v>
      </c>
      <c r="E413" s="237" t="s">
        <v>17</v>
      </c>
      <c r="F413" s="418"/>
      <c r="G413" s="26"/>
      <c r="H413" s="26"/>
      <c r="I413" s="26"/>
      <c r="J413" s="26"/>
    </row>
    <row r="414" spans="1:10" ht="15.95" customHeight="1">
      <c r="A414" s="15" t="s">
        <v>744</v>
      </c>
      <c r="B414" s="391">
        <v>42422</v>
      </c>
      <c r="C414" s="461" t="s">
        <v>381</v>
      </c>
      <c r="D414" s="484">
        <v>3</v>
      </c>
      <c r="E414" s="238" t="s">
        <v>17</v>
      </c>
      <c r="F414" s="392"/>
      <c r="G414" s="26"/>
      <c r="H414" s="26"/>
      <c r="I414" s="26"/>
      <c r="J414" s="26"/>
    </row>
    <row r="415" spans="1:10" ht="15.95" customHeight="1">
      <c r="A415" s="169" t="s">
        <v>744</v>
      </c>
      <c r="B415" s="391">
        <v>42422</v>
      </c>
      <c r="C415" s="461" t="s">
        <v>381</v>
      </c>
      <c r="D415" s="484">
        <v>2</v>
      </c>
      <c r="E415" s="238" t="s">
        <v>17</v>
      </c>
      <c r="F415" s="392"/>
      <c r="G415" s="26"/>
      <c r="H415" s="26"/>
      <c r="I415" s="26"/>
      <c r="J415" s="26"/>
    </row>
    <row r="416" spans="1:10" ht="15.95" customHeight="1">
      <c r="A416" s="249" t="s">
        <v>990</v>
      </c>
      <c r="B416" s="395"/>
      <c r="C416" s="466" t="s">
        <v>991</v>
      </c>
      <c r="D416" s="485">
        <v>1</v>
      </c>
      <c r="E416" s="77" t="s">
        <v>17</v>
      </c>
      <c r="F416" s="388" t="s">
        <v>1257</v>
      </c>
      <c r="G416" s="26"/>
      <c r="H416" s="26"/>
      <c r="I416" s="26"/>
      <c r="J416" s="26"/>
    </row>
    <row r="417" spans="1:10" ht="15.95" customHeight="1">
      <c r="A417" s="133"/>
      <c r="B417" s="387">
        <v>43060</v>
      </c>
      <c r="C417" s="460" t="s">
        <v>931</v>
      </c>
      <c r="D417" s="483">
        <v>1</v>
      </c>
      <c r="E417" s="243" t="s">
        <v>1160</v>
      </c>
      <c r="F417" s="388"/>
      <c r="G417" s="26"/>
      <c r="H417" s="26"/>
      <c r="I417" s="26"/>
      <c r="J417" s="26"/>
    </row>
    <row r="418" spans="1:10" ht="15.95" customHeight="1">
      <c r="A418" s="123" t="s">
        <v>603</v>
      </c>
      <c r="B418" s="395">
        <v>43203</v>
      </c>
      <c r="C418" s="466" t="s">
        <v>1147</v>
      </c>
      <c r="D418" s="485">
        <v>36</v>
      </c>
      <c r="E418" s="77" t="s">
        <v>17</v>
      </c>
      <c r="F418" s="388"/>
      <c r="G418" s="26"/>
      <c r="H418" s="26"/>
      <c r="I418" s="26"/>
      <c r="J418" s="26"/>
    </row>
    <row r="419" spans="1:10" ht="15.95" customHeight="1">
      <c r="A419" s="85" t="s">
        <v>454</v>
      </c>
      <c r="B419" s="407">
        <v>43182</v>
      </c>
      <c r="C419" s="469" t="s">
        <v>1147</v>
      </c>
      <c r="D419" s="492">
        <v>0</v>
      </c>
      <c r="E419" s="437" t="s">
        <v>17</v>
      </c>
      <c r="F419" s="405" t="s">
        <v>1272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5">
        <v>43182</v>
      </c>
      <c r="C420" s="375" t="s">
        <v>1147</v>
      </c>
      <c r="D420" s="485">
        <v>18</v>
      </c>
      <c r="E420" s="77" t="s">
        <v>17</v>
      </c>
      <c r="F420" s="394" t="s">
        <v>1149</v>
      </c>
      <c r="G420" s="26"/>
      <c r="H420" s="26"/>
      <c r="I420" s="26"/>
      <c r="J420" s="26"/>
    </row>
    <row r="421" spans="1:10" ht="15.95" customHeight="1">
      <c r="A421" s="169" t="s">
        <v>965</v>
      </c>
      <c r="B421" s="395">
        <v>43150</v>
      </c>
      <c r="C421" s="466" t="s">
        <v>320</v>
      </c>
      <c r="D421" s="485">
        <v>6.833333333333333</v>
      </c>
      <c r="E421" s="77" t="s">
        <v>17</v>
      </c>
      <c r="F421" s="388"/>
      <c r="G421" s="26"/>
      <c r="H421" s="26"/>
      <c r="I421" s="26"/>
      <c r="J421" s="26"/>
    </row>
    <row r="422" spans="1:10" ht="15.95" customHeight="1">
      <c r="A422" s="169" t="s">
        <v>965</v>
      </c>
      <c r="B422" s="395">
        <v>43150</v>
      </c>
      <c r="C422" s="466" t="s">
        <v>317</v>
      </c>
      <c r="D422" s="485">
        <v>6.5</v>
      </c>
      <c r="E422" s="77" t="s">
        <v>17</v>
      </c>
      <c r="F422" s="388" t="s">
        <v>777</v>
      </c>
      <c r="G422" s="26"/>
      <c r="H422" s="26"/>
      <c r="I422" s="26"/>
      <c r="J422" s="26"/>
    </row>
    <row r="423" spans="1:10" ht="15.95" customHeight="1">
      <c r="A423" s="169" t="s">
        <v>965</v>
      </c>
      <c r="B423" s="395">
        <v>43150</v>
      </c>
      <c r="C423" s="466" t="s">
        <v>316</v>
      </c>
      <c r="D423" s="485">
        <v>6.9966666666666661</v>
      </c>
      <c r="E423" s="77" t="s">
        <v>17</v>
      </c>
      <c r="F423" s="388"/>
      <c r="G423" s="26"/>
      <c r="H423" s="26"/>
      <c r="I423" s="26"/>
      <c r="J423" s="26"/>
    </row>
    <row r="424" spans="1:10" ht="15.95" customHeight="1">
      <c r="A424" s="169" t="s">
        <v>233</v>
      </c>
      <c r="B424" s="389">
        <v>42822</v>
      </c>
      <c r="C424" s="461" t="s">
        <v>316</v>
      </c>
      <c r="D424" s="484">
        <v>0.83000000000000007</v>
      </c>
      <c r="E424" s="243" t="s">
        <v>17</v>
      </c>
      <c r="F424" s="415" t="s">
        <v>782</v>
      </c>
      <c r="G424" s="26"/>
      <c r="H424" s="26"/>
      <c r="I424" s="26"/>
      <c r="J424" s="26"/>
    </row>
    <row r="425" spans="1:10" ht="15.95" customHeight="1">
      <c r="A425" s="249" t="s">
        <v>233</v>
      </c>
      <c r="B425" s="395">
        <v>43077</v>
      </c>
      <c r="C425" s="462" t="s">
        <v>376</v>
      </c>
      <c r="D425" s="485">
        <v>26</v>
      </c>
      <c r="E425" s="77" t="s">
        <v>17</v>
      </c>
      <c r="F425" s="396"/>
      <c r="G425" s="26"/>
      <c r="H425" s="26"/>
      <c r="I425" s="26"/>
      <c r="J425" s="26"/>
    </row>
    <row r="426" spans="1:10" ht="15.95" customHeight="1">
      <c r="A426" s="169" t="s">
        <v>607</v>
      </c>
      <c r="B426" s="414"/>
      <c r="C426" s="472" t="s">
        <v>613</v>
      </c>
      <c r="D426" s="483">
        <v>1</v>
      </c>
      <c r="E426" s="241" t="s">
        <v>17</v>
      </c>
      <c r="F426" s="411" t="s">
        <v>943</v>
      </c>
      <c r="G426" s="26"/>
      <c r="H426" s="26"/>
      <c r="I426" s="26"/>
      <c r="J426" s="26"/>
    </row>
    <row r="427" spans="1:10" ht="15.95" customHeight="1">
      <c r="A427" s="249" t="s">
        <v>990</v>
      </c>
      <c r="B427" s="395">
        <v>43060</v>
      </c>
      <c r="C427" s="466" t="s">
        <v>1010</v>
      </c>
      <c r="D427" s="485">
        <v>4</v>
      </c>
      <c r="E427" s="77" t="s">
        <v>17</v>
      </c>
      <c r="F427" s="388" t="s">
        <v>898</v>
      </c>
      <c r="G427" s="26"/>
      <c r="H427" s="26"/>
      <c r="I427" s="26"/>
      <c r="J427" s="26"/>
    </row>
    <row r="428" spans="1:10" ht="15.95" customHeight="1">
      <c r="A428" s="169" t="s">
        <v>568</v>
      </c>
      <c r="B428" s="395">
        <v>43084</v>
      </c>
      <c r="C428" s="460" t="s">
        <v>952</v>
      </c>
      <c r="D428" s="485">
        <v>1</v>
      </c>
      <c r="E428" s="77" t="s">
        <v>17</v>
      </c>
      <c r="F428" s="394"/>
      <c r="G428" s="26"/>
      <c r="H428" s="26"/>
      <c r="I428" s="26"/>
      <c r="J428" s="26"/>
    </row>
    <row r="429" spans="1:10" ht="15.95" customHeight="1">
      <c r="A429" s="15" t="s">
        <v>570</v>
      </c>
      <c r="B429" s="387">
        <v>43082</v>
      </c>
      <c r="C429" s="460" t="s">
        <v>952</v>
      </c>
      <c r="D429" s="485">
        <v>38</v>
      </c>
      <c r="E429" s="77" t="s">
        <v>17</v>
      </c>
      <c r="F429" s="394" t="s">
        <v>962</v>
      </c>
      <c r="G429" s="26"/>
      <c r="H429" s="26"/>
      <c r="I429" s="26"/>
      <c r="J429" s="26"/>
    </row>
    <row r="430" spans="1:10" ht="15.95" customHeight="1">
      <c r="A430" s="169" t="s">
        <v>568</v>
      </c>
      <c r="B430" s="395">
        <v>43115</v>
      </c>
      <c r="C430" s="460" t="s">
        <v>976</v>
      </c>
      <c r="D430" s="485">
        <v>1</v>
      </c>
      <c r="E430" s="77" t="s">
        <v>17</v>
      </c>
      <c r="F430" s="394"/>
      <c r="G430" s="26"/>
      <c r="H430" s="26"/>
      <c r="I430" s="26"/>
      <c r="J430" s="26"/>
    </row>
    <row r="431" spans="1:10" ht="15.95" customHeight="1">
      <c r="A431" s="123" t="s">
        <v>427</v>
      </c>
      <c r="B431" s="393"/>
      <c r="C431" s="460" t="s">
        <v>664</v>
      </c>
      <c r="D431" s="484">
        <v>1</v>
      </c>
      <c r="E431" s="243" t="s">
        <v>1160</v>
      </c>
      <c r="F431" s="394"/>
      <c r="G431" s="26"/>
      <c r="H431" s="26"/>
      <c r="I431" s="26"/>
      <c r="J431" s="26"/>
    </row>
    <row r="432" spans="1:10" ht="15.95" customHeight="1">
      <c r="A432" s="123" t="s">
        <v>877</v>
      </c>
      <c r="B432" s="393">
        <v>42977</v>
      </c>
      <c r="C432" s="460" t="s">
        <v>799</v>
      </c>
      <c r="D432" s="484">
        <v>2</v>
      </c>
      <c r="E432" s="239" t="s">
        <v>17</v>
      </c>
      <c r="F432" s="396"/>
      <c r="G432" s="26"/>
      <c r="H432" s="26"/>
      <c r="I432" s="26"/>
      <c r="J432" s="26"/>
    </row>
    <row r="433" spans="1:10" ht="15.95" customHeight="1">
      <c r="A433" s="249" t="s">
        <v>453</v>
      </c>
      <c r="B433" s="387">
        <v>43132</v>
      </c>
      <c r="C433" s="461" t="s">
        <v>477</v>
      </c>
      <c r="D433" s="483">
        <v>8</v>
      </c>
      <c r="E433" s="237" t="s">
        <v>14</v>
      </c>
      <c r="F433" s="405" t="s">
        <v>1292</v>
      </c>
      <c r="G433" s="26"/>
      <c r="H433" s="26"/>
      <c r="I433" s="26"/>
      <c r="J433" s="26"/>
    </row>
    <row r="434" spans="1:10" ht="15.95" customHeight="1">
      <c r="A434" s="15" t="s">
        <v>582</v>
      </c>
      <c r="B434" s="395">
        <v>43207</v>
      </c>
      <c r="C434" s="375" t="s">
        <v>477</v>
      </c>
      <c r="D434" s="485">
        <v>40</v>
      </c>
      <c r="E434" s="77" t="s">
        <v>14</v>
      </c>
      <c r="F434" s="388"/>
      <c r="G434" s="26"/>
      <c r="H434" s="26"/>
      <c r="I434" s="26"/>
      <c r="J434" s="26"/>
    </row>
    <row r="435" spans="1:10" ht="15.95" customHeight="1">
      <c r="A435" s="376" t="s">
        <v>1265</v>
      </c>
      <c r="B435" s="426">
        <v>43223</v>
      </c>
      <c r="C435" s="475" t="s">
        <v>1266</v>
      </c>
      <c r="D435" s="489">
        <v>15</v>
      </c>
      <c r="E435" s="449" t="s">
        <v>9</v>
      </c>
      <c r="F435" s="428" t="s">
        <v>1267</v>
      </c>
      <c r="G435" s="26"/>
      <c r="H435" s="26"/>
      <c r="I435" s="26"/>
      <c r="J435" s="26"/>
    </row>
    <row r="436" spans="1:10" ht="15.95" customHeight="1">
      <c r="A436" s="169" t="s">
        <v>839</v>
      </c>
      <c r="B436" s="387">
        <v>43063</v>
      </c>
      <c r="C436" s="460" t="s">
        <v>659</v>
      </c>
      <c r="D436" s="485">
        <v>2</v>
      </c>
      <c r="E436" s="77" t="s">
        <v>14</v>
      </c>
      <c r="F436" s="394"/>
      <c r="G436" s="26"/>
      <c r="H436" s="26"/>
      <c r="I436" s="26"/>
      <c r="J436" s="26"/>
    </row>
    <row r="437" spans="1:10" ht="15.95" customHeight="1">
      <c r="A437" s="169" t="s">
        <v>516</v>
      </c>
      <c r="B437" s="387">
        <v>43124</v>
      </c>
      <c r="C437" s="460" t="s">
        <v>108</v>
      </c>
      <c r="D437" s="485">
        <v>7</v>
      </c>
      <c r="E437" s="77" t="s">
        <v>17</v>
      </c>
      <c r="F437" s="394"/>
      <c r="G437" s="26"/>
      <c r="H437" s="26"/>
      <c r="I437" s="26"/>
      <c r="J437" s="26"/>
    </row>
    <row r="438" spans="1:10" ht="15.95" customHeight="1">
      <c r="A438" s="123" t="s">
        <v>1133</v>
      </c>
      <c r="B438" s="391">
        <v>43196</v>
      </c>
      <c r="C438" s="461" t="s">
        <v>256</v>
      </c>
      <c r="D438" s="484">
        <v>10</v>
      </c>
      <c r="E438" s="238" t="s">
        <v>17</v>
      </c>
      <c r="F438" s="450" t="s">
        <v>1292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5">
        <v>43209</v>
      </c>
      <c r="C439" s="460" t="s">
        <v>256</v>
      </c>
      <c r="D439" s="485">
        <v>48</v>
      </c>
      <c r="E439" s="77" t="s">
        <v>14</v>
      </c>
      <c r="F439" s="394"/>
      <c r="G439" s="26"/>
      <c r="H439" s="26"/>
      <c r="I439" s="26"/>
      <c r="J439" s="26"/>
    </row>
    <row r="440" spans="1:10" ht="15.95" customHeight="1">
      <c r="A440" s="169" t="s">
        <v>405</v>
      </c>
      <c r="B440" s="389">
        <v>42530</v>
      </c>
      <c r="C440" s="461" t="s">
        <v>256</v>
      </c>
      <c r="D440" s="484">
        <v>1</v>
      </c>
      <c r="E440" s="238" t="s">
        <v>14</v>
      </c>
      <c r="F440" s="410" t="s">
        <v>445</v>
      </c>
      <c r="G440" s="26"/>
      <c r="H440" s="26"/>
      <c r="I440" s="26"/>
      <c r="J440" s="26"/>
    </row>
    <row r="441" spans="1:10" ht="15.95" customHeight="1">
      <c r="A441" s="123" t="s">
        <v>816</v>
      </c>
      <c r="B441" s="393"/>
      <c r="C441" s="460" t="s">
        <v>817</v>
      </c>
      <c r="D441" s="483">
        <v>1</v>
      </c>
      <c r="E441" s="239" t="s">
        <v>268</v>
      </c>
      <c r="F441" s="394"/>
      <c r="G441" s="26"/>
      <c r="H441" s="26"/>
      <c r="I441" s="26"/>
      <c r="J441" s="26"/>
    </row>
    <row r="442" spans="1:10" ht="15.95" customHeight="1">
      <c r="A442" s="169" t="s">
        <v>327</v>
      </c>
      <c r="B442" s="387">
        <v>40529</v>
      </c>
      <c r="C442" s="460" t="s">
        <v>16</v>
      </c>
      <c r="D442" s="483">
        <v>12</v>
      </c>
      <c r="E442" s="243" t="s">
        <v>1160</v>
      </c>
      <c r="F442" s="451" t="s">
        <v>64</v>
      </c>
      <c r="G442" s="26"/>
      <c r="H442" s="26"/>
      <c r="I442" s="26"/>
      <c r="J442" s="26"/>
    </row>
    <row r="443" spans="1:10" ht="15.95" customHeight="1">
      <c r="A443" s="169" t="s">
        <v>839</v>
      </c>
      <c r="B443" s="387"/>
      <c r="C443" s="479" t="s">
        <v>711</v>
      </c>
      <c r="D443" s="485">
        <v>1</v>
      </c>
      <c r="E443" s="77" t="s">
        <v>14</v>
      </c>
      <c r="F443" s="394" t="s">
        <v>1261</v>
      </c>
      <c r="G443" s="26"/>
      <c r="H443" s="26"/>
      <c r="I443" s="26"/>
      <c r="J443" s="26"/>
    </row>
    <row r="444" spans="1:10" ht="15.95" customHeight="1">
      <c r="A444" s="169" t="s">
        <v>839</v>
      </c>
      <c r="B444" s="387">
        <v>42915</v>
      </c>
      <c r="C444" s="479" t="s">
        <v>711</v>
      </c>
      <c r="D444" s="485">
        <v>1</v>
      </c>
      <c r="E444" s="77" t="s">
        <v>14</v>
      </c>
      <c r="F444" s="394" t="s">
        <v>1261</v>
      </c>
      <c r="G444" s="26"/>
      <c r="H444" s="26"/>
      <c r="I444" s="26"/>
      <c r="J444" s="26"/>
    </row>
    <row r="445" spans="1:10" ht="15.95" customHeight="1">
      <c r="A445" s="169" t="s">
        <v>839</v>
      </c>
      <c r="B445" s="393">
        <v>43053</v>
      </c>
      <c r="C445" s="479" t="s">
        <v>711</v>
      </c>
      <c r="D445" s="484">
        <v>3</v>
      </c>
      <c r="E445" s="239" t="s">
        <v>14</v>
      </c>
      <c r="F445" s="396" t="s">
        <v>1161</v>
      </c>
      <c r="G445" s="26"/>
      <c r="H445" s="26"/>
      <c r="I445" s="26"/>
      <c r="J445" s="26"/>
    </row>
    <row r="446" spans="1:10" ht="15.95" customHeight="1">
      <c r="A446" s="169" t="s">
        <v>741</v>
      </c>
      <c r="B446" s="387">
        <v>42235</v>
      </c>
      <c r="C446" s="460" t="s">
        <v>326</v>
      </c>
      <c r="D446" s="485">
        <v>500</v>
      </c>
      <c r="E446" s="243" t="s">
        <v>1134</v>
      </c>
      <c r="F446" s="394"/>
      <c r="G446" s="26"/>
      <c r="H446" s="26"/>
      <c r="I446" s="26"/>
      <c r="J446" s="26"/>
    </row>
    <row r="447" spans="1:10" ht="15.95" customHeight="1">
      <c r="A447" s="169" t="s">
        <v>464</v>
      </c>
      <c r="B447" s="387">
        <v>42564</v>
      </c>
      <c r="C447" s="461" t="s">
        <v>442</v>
      </c>
      <c r="D447" s="483">
        <v>0.16</v>
      </c>
      <c r="E447" s="237" t="s">
        <v>17</v>
      </c>
      <c r="F447" s="410" t="s">
        <v>1209</v>
      </c>
      <c r="G447" s="26"/>
      <c r="H447" s="26"/>
      <c r="I447" s="26"/>
      <c r="J447" s="26"/>
    </row>
    <row r="448" spans="1:10" ht="15.95" customHeight="1">
      <c r="A448" s="249" t="s">
        <v>233</v>
      </c>
      <c r="B448" s="389">
        <v>41621</v>
      </c>
      <c r="C448" s="461" t="s">
        <v>94</v>
      </c>
      <c r="D448" s="484">
        <v>16</v>
      </c>
      <c r="E448" s="238" t="s">
        <v>18</v>
      </c>
      <c r="F448" s="452"/>
      <c r="G448" s="26"/>
      <c r="H448" s="26"/>
      <c r="I448" s="26"/>
      <c r="J448" s="26"/>
    </row>
    <row r="449" spans="1:10" ht="15.95" customHeight="1">
      <c r="A449" s="123" t="s">
        <v>115</v>
      </c>
      <c r="B449" s="395">
        <v>43124</v>
      </c>
      <c r="C449" s="466" t="s">
        <v>94</v>
      </c>
      <c r="D449" s="485">
        <v>14</v>
      </c>
      <c r="E449" s="77" t="s">
        <v>17</v>
      </c>
      <c r="F449" s="452" t="s">
        <v>845</v>
      </c>
      <c r="G449" s="26"/>
      <c r="H449" s="26"/>
      <c r="I449" s="26"/>
      <c r="J449" s="26"/>
    </row>
    <row r="450" spans="1:10" ht="15.95" customHeight="1">
      <c r="A450" s="169" t="s">
        <v>495</v>
      </c>
      <c r="B450" s="395">
        <v>43124</v>
      </c>
      <c r="C450" s="466" t="s">
        <v>905</v>
      </c>
      <c r="D450" s="485">
        <v>2</v>
      </c>
      <c r="E450" s="77" t="s">
        <v>17</v>
      </c>
      <c r="F450" s="388"/>
      <c r="G450" s="26"/>
      <c r="H450" s="26"/>
      <c r="I450" s="26"/>
      <c r="J450" s="26"/>
    </row>
    <row r="451" spans="1:10" ht="15.95" customHeight="1">
      <c r="A451" s="169" t="s">
        <v>837</v>
      </c>
      <c r="B451" s="395">
        <v>43157</v>
      </c>
      <c r="C451" s="466" t="s">
        <v>791</v>
      </c>
      <c r="D451" s="485">
        <v>8</v>
      </c>
      <c r="E451" s="77" t="s">
        <v>17</v>
      </c>
      <c r="F451" s="388"/>
      <c r="G451" s="26"/>
      <c r="H451" s="26"/>
      <c r="I451" s="26"/>
      <c r="J451" s="26"/>
    </row>
    <row r="452" spans="1:10" ht="15.95" customHeight="1">
      <c r="A452" s="169" t="s">
        <v>839</v>
      </c>
      <c r="B452" s="387">
        <v>43060</v>
      </c>
      <c r="C452" s="460" t="s">
        <v>791</v>
      </c>
      <c r="D452" s="485">
        <v>3</v>
      </c>
      <c r="E452" s="77" t="s">
        <v>17</v>
      </c>
      <c r="F452" s="394"/>
      <c r="G452" s="26"/>
      <c r="H452" s="26"/>
      <c r="I452" s="26"/>
      <c r="J452" s="26"/>
    </row>
    <row r="453" spans="1:10" ht="15.95" customHeight="1">
      <c r="A453" s="169" t="s">
        <v>705</v>
      </c>
      <c r="B453" s="395">
        <v>43124</v>
      </c>
      <c r="C453" s="466" t="s">
        <v>791</v>
      </c>
      <c r="D453" s="485">
        <v>8</v>
      </c>
      <c r="E453" s="77" t="s">
        <v>17</v>
      </c>
      <c r="F453" s="394"/>
      <c r="G453" s="26"/>
      <c r="H453" s="26"/>
      <c r="I453" s="26"/>
      <c r="J453" s="26"/>
    </row>
    <row r="454" spans="1:10" ht="15.95" customHeight="1">
      <c r="A454" s="169" t="s">
        <v>837</v>
      </c>
      <c r="B454" s="395">
        <v>43157</v>
      </c>
      <c r="C454" s="466" t="s">
        <v>637</v>
      </c>
      <c r="D454" s="485">
        <v>13</v>
      </c>
      <c r="E454" s="77" t="s">
        <v>17</v>
      </c>
      <c r="F454" s="388"/>
      <c r="G454" s="26"/>
      <c r="H454" s="26"/>
      <c r="I454" s="26"/>
      <c r="J454" s="26"/>
    </row>
    <row r="455" spans="1:10" ht="15.95" customHeight="1">
      <c r="A455" s="169" t="s">
        <v>705</v>
      </c>
      <c r="B455" s="395">
        <v>43124</v>
      </c>
      <c r="C455" s="466" t="s">
        <v>637</v>
      </c>
      <c r="D455" s="485">
        <v>11</v>
      </c>
      <c r="E455" s="77" t="s">
        <v>17</v>
      </c>
      <c r="F455" s="394"/>
      <c r="G455" s="26"/>
      <c r="H455" s="26"/>
      <c r="I455" s="26"/>
      <c r="J455" s="26"/>
    </row>
    <row r="456" spans="1:10" ht="15.95" customHeight="1">
      <c r="A456" s="169" t="s">
        <v>528</v>
      </c>
      <c r="B456" s="414">
        <v>42822</v>
      </c>
      <c r="C456" s="471" t="s">
        <v>637</v>
      </c>
      <c r="D456" s="483">
        <v>1</v>
      </c>
      <c r="E456" s="241" t="s">
        <v>14</v>
      </c>
      <c r="F456" s="410" t="s">
        <v>710</v>
      </c>
      <c r="G456" s="26"/>
      <c r="H456" s="26"/>
      <c r="I456" s="26"/>
      <c r="J456" s="26"/>
    </row>
    <row r="457" spans="1:10" ht="15.95" customHeight="1">
      <c r="A457" s="169" t="s">
        <v>839</v>
      </c>
      <c r="B457" s="387">
        <v>43060</v>
      </c>
      <c r="C457" s="460" t="s">
        <v>794</v>
      </c>
      <c r="D457" s="485">
        <v>4</v>
      </c>
      <c r="E457" s="77" t="s">
        <v>17</v>
      </c>
      <c r="F457" s="394"/>
      <c r="G457" s="26"/>
      <c r="H457" s="26"/>
      <c r="I457" s="26"/>
      <c r="J457" s="26"/>
    </row>
    <row r="458" spans="1:10" ht="15.95" customHeight="1">
      <c r="A458" s="249" t="s">
        <v>841</v>
      </c>
      <c r="B458" s="395">
        <v>43157</v>
      </c>
      <c r="C458" s="466" t="s">
        <v>794</v>
      </c>
      <c r="D458" s="485">
        <v>8</v>
      </c>
      <c r="E458" s="77" t="s">
        <v>17</v>
      </c>
      <c r="F458" s="388"/>
      <c r="G458" s="26"/>
      <c r="H458" s="26"/>
      <c r="I458" s="26"/>
      <c r="J458" s="26"/>
    </row>
    <row r="459" spans="1:10" ht="15.95" customHeight="1">
      <c r="A459" s="169" t="s">
        <v>1027</v>
      </c>
      <c r="B459" s="395">
        <v>43124</v>
      </c>
      <c r="C459" s="466" t="s">
        <v>794</v>
      </c>
      <c r="D459" s="485">
        <v>8</v>
      </c>
      <c r="E459" s="77" t="s">
        <v>17</v>
      </c>
      <c r="F459" s="394"/>
      <c r="G459" s="26"/>
      <c r="H459" s="26"/>
      <c r="I459" s="26"/>
      <c r="J459" s="26"/>
    </row>
    <row r="460" spans="1:10" ht="15.95" customHeight="1">
      <c r="A460" s="169" t="s">
        <v>838</v>
      </c>
      <c r="B460" s="387">
        <v>43060</v>
      </c>
      <c r="C460" s="460" t="s">
        <v>911</v>
      </c>
      <c r="D460" s="485">
        <v>4</v>
      </c>
      <c r="E460" s="77" t="s">
        <v>17</v>
      </c>
      <c r="F460" s="394" t="s">
        <v>1032</v>
      </c>
      <c r="G460" s="26"/>
      <c r="H460" s="26"/>
      <c r="I460" s="26"/>
      <c r="J460" s="26"/>
    </row>
    <row r="461" spans="1:10" ht="15.95" customHeight="1">
      <c r="A461" s="249" t="s">
        <v>841</v>
      </c>
      <c r="B461" s="395">
        <v>43157</v>
      </c>
      <c r="C461" s="466" t="s">
        <v>911</v>
      </c>
      <c r="D461" s="485">
        <v>22</v>
      </c>
      <c r="E461" s="77" t="s">
        <v>17</v>
      </c>
      <c r="F461" s="388"/>
      <c r="G461" s="26"/>
      <c r="H461" s="26"/>
      <c r="I461" s="26"/>
      <c r="J461" s="26"/>
    </row>
    <row r="462" spans="1:10" ht="15.95" customHeight="1">
      <c r="A462" s="169" t="s">
        <v>1027</v>
      </c>
      <c r="B462" s="395">
        <v>43124</v>
      </c>
      <c r="C462" s="466" t="s">
        <v>911</v>
      </c>
      <c r="D462" s="485">
        <v>22</v>
      </c>
      <c r="E462" s="77" t="s">
        <v>17</v>
      </c>
      <c r="F462" s="394"/>
      <c r="G462" s="26"/>
      <c r="H462" s="26"/>
      <c r="I462" s="26"/>
      <c r="J462" s="26"/>
    </row>
    <row r="463" spans="1:10" ht="15.95" customHeight="1">
      <c r="A463" s="133" t="s">
        <v>973</v>
      </c>
      <c r="B463" s="387">
        <v>43157</v>
      </c>
      <c r="C463" s="460" t="s">
        <v>1060</v>
      </c>
      <c r="D463" s="483">
        <v>6</v>
      </c>
      <c r="E463" s="237" t="s">
        <v>14</v>
      </c>
      <c r="F463" s="388"/>
      <c r="G463" s="26"/>
      <c r="H463" s="26"/>
      <c r="I463" s="26"/>
      <c r="J463" s="26"/>
    </row>
    <row r="464" spans="1:10" ht="15.95" customHeight="1">
      <c r="A464" s="169" t="s">
        <v>607</v>
      </c>
      <c r="B464" s="414"/>
      <c r="C464" s="472" t="s">
        <v>1175</v>
      </c>
      <c r="D464" s="483">
        <v>2</v>
      </c>
      <c r="E464" s="241" t="s">
        <v>17</v>
      </c>
      <c r="F464" s="411" t="s">
        <v>943</v>
      </c>
      <c r="G464" s="26"/>
      <c r="H464" s="26"/>
      <c r="I464" s="26"/>
      <c r="J464" s="26"/>
    </row>
    <row r="465" spans="1:10" ht="15.95" customHeight="1">
      <c r="A465" s="169" t="s">
        <v>50</v>
      </c>
      <c r="B465" s="391" t="s">
        <v>266</v>
      </c>
      <c r="C465" s="460" t="s">
        <v>267</v>
      </c>
      <c r="D465" s="484">
        <v>1</v>
      </c>
      <c r="E465" s="238" t="s">
        <v>268</v>
      </c>
      <c r="F465" s="390"/>
      <c r="G465" s="26"/>
      <c r="H465" s="26"/>
      <c r="I465" s="26"/>
      <c r="J465" s="26"/>
    </row>
    <row r="466" spans="1:10" ht="15.95" customHeight="1">
      <c r="A466" s="249" t="s">
        <v>990</v>
      </c>
      <c r="B466" s="395"/>
      <c r="C466" s="466" t="s">
        <v>1044</v>
      </c>
      <c r="D466" s="485">
        <v>1</v>
      </c>
      <c r="E466" s="77" t="s">
        <v>17</v>
      </c>
      <c r="F466" s="388" t="s">
        <v>1034</v>
      </c>
      <c r="G466" s="26"/>
      <c r="H466" s="26"/>
      <c r="I466" s="26"/>
      <c r="J466" s="26"/>
    </row>
    <row r="467" spans="1:10" ht="15.95" customHeight="1">
      <c r="A467" s="169" t="s">
        <v>69</v>
      </c>
      <c r="B467" s="387">
        <v>41730</v>
      </c>
      <c r="C467" s="461" t="s">
        <v>111</v>
      </c>
      <c r="D467" s="483">
        <v>1</v>
      </c>
      <c r="E467" s="237" t="s">
        <v>17</v>
      </c>
      <c r="F467" s="410" t="s">
        <v>247</v>
      </c>
      <c r="G467" s="26"/>
      <c r="H467" s="26"/>
      <c r="I467" s="26"/>
      <c r="J467" s="26"/>
    </row>
    <row r="468" spans="1:10" ht="15.95" customHeight="1">
      <c r="A468" s="169" t="s">
        <v>69</v>
      </c>
      <c r="B468" s="387"/>
      <c r="C468" s="461" t="s">
        <v>148</v>
      </c>
      <c r="D468" s="483">
        <v>7</v>
      </c>
      <c r="E468" s="237" t="s">
        <v>1160</v>
      </c>
      <c r="F468" s="410" t="s">
        <v>246</v>
      </c>
      <c r="G468" s="26"/>
      <c r="H468" s="26"/>
      <c r="I468" s="26"/>
      <c r="J468" s="26"/>
    </row>
    <row r="469" spans="1:10" ht="15.95" customHeight="1">
      <c r="A469" s="169" t="s">
        <v>196</v>
      </c>
      <c r="B469" s="387">
        <v>41954</v>
      </c>
      <c r="C469" s="461" t="s">
        <v>161</v>
      </c>
      <c r="D469" s="483">
        <v>9</v>
      </c>
      <c r="E469" s="238" t="s">
        <v>1160</v>
      </c>
      <c r="F469" s="410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5">
        <v>43146</v>
      </c>
      <c r="C470" s="460" t="s">
        <v>1039</v>
      </c>
      <c r="D470" s="485">
        <v>26</v>
      </c>
      <c r="E470" s="77" t="s">
        <v>17</v>
      </c>
      <c r="F470" s="453"/>
      <c r="G470" s="26"/>
      <c r="H470" s="26"/>
      <c r="I470" s="26"/>
      <c r="J470" s="26"/>
    </row>
    <row r="471" spans="1:10" ht="15.95" customHeight="1">
      <c r="A471" s="85" t="s">
        <v>518</v>
      </c>
      <c r="B471" s="399">
        <v>43146</v>
      </c>
      <c r="C471" s="473" t="s">
        <v>1039</v>
      </c>
      <c r="D471" s="486">
        <v>0</v>
      </c>
      <c r="E471" s="86" t="s">
        <v>17</v>
      </c>
      <c r="F471" s="453"/>
      <c r="G471" s="26"/>
      <c r="H471" s="26"/>
      <c r="I471" s="26"/>
      <c r="J471" s="26"/>
    </row>
    <row r="472" spans="1:10" ht="15.95" customHeight="1">
      <c r="A472" s="85" t="s">
        <v>485</v>
      </c>
      <c r="B472" s="399">
        <v>43194</v>
      </c>
      <c r="C472" s="468" t="s">
        <v>1117</v>
      </c>
      <c r="D472" s="486">
        <v>0</v>
      </c>
      <c r="E472" s="86" t="s">
        <v>17</v>
      </c>
      <c r="F472" s="388"/>
      <c r="G472" s="26"/>
      <c r="H472" s="26"/>
      <c r="I472" s="26"/>
      <c r="J472" s="26"/>
    </row>
    <row r="473" spans="1:10" ht="15.95" customHeight="1">
      <c r="A473" s="123" t="s">
        <v>788</v>
      </c>
      <c r="B473" s="395">
        <v>43194</v>
      </c>
      <c r="C473" s="466" t="s">
        <v>1117</v>
      </c>
      <c r="D473" s="485">
        <v>25</v>
      </c>
      <c r="E473" s="77" t="s">
        <v>17</v>
      </c>
      <c r="F473" s="388"/>
      <c r="G473" s="26"/>
      <c r="H473" s="26"/>
      <c r="I473" s="26"/>
      <c r="J473" s="26"/>
    </row>
    <row r="474" spans="1:10" ht="15.95" customHeight="1">
      <c r="A474" s="249" t="s">
        <v>518</v>
      </c>
      <c r="B474" s="395">
        <v>43194</v>
      </c>
      <c r="C474" s="466" t="s">
        <v>1117</v>
      </c>
      <c r="D474" s="485">
        <v>20</v>
      </c>
      <c r="E474" s="77" t="s">
        <v>17</v>
      </c>
      <c r="F474" s="388"/>
      <c r="G474" s="26"/>
      <c r="H474" s="26"/>
      <c r="I474" s="26"/>
      <c r="J474" s="26"/>
    </row>
    <row r="475" spans="1:10" ht="15.95" customHeight="1">
      <c r="A475" s="85" t="s">
        <v>467</v>
      </c>
      <c r="B475" s="399">
        <v>43194</v>
      </c>
      <c r="C475" s="468" t="s">
        <v>1117</v>
      </c>
      <c r="D475" s="486">
        <v>0</v>
      </c>
      <c r="E475" s="86" t="s">
        <v>17</v>
      </c>
      <c r="F475" s="388"/>
      <c r="G475" s="26"/>
      <c r="H475" s="26"/>
      <c r="I475" s="26"/>
      <c r="J475" s="26"/>
    </row>
    <row r="476" spans="1:10" ht="15.95" customHeight="1">
      <c r="A476" s="123" t="s">
        <v>935</v>
      </c>
      <c r="B476" s="395">
        <v>43194</v>
      </c>
      <c r="C476" s="466" t="s">
        <v>1117</v>
      </c>
      <c r="D476" s="485">
        <v>9</v>
      </c>
      <c r="E476" s="77" t="s">
        <v>17</v>
      </c>
      <c r="F476" s="388"/>
      <c r="G476" s="26"/>
      <c r="H476" s="26"/>
      <c r="I476" s="26"/>
      <c r="J476" s="26"/>
    </row>
    <row r="477" spans="1:10" ht="15.95" customHeight="1">
      <c r="A477" s="15" t="s">
        <v>534</v>
      </c>
      <c r="B477" s="395">
        <v>43187</v>
      </c>
      <c r="C477" s="466" t="s">
        <v>1077</v>
      </c>
      <c r="D477" s="485">
        <v>1</v>
      </c>
      <c r="E477" s="77" t="s">
        <v>17</v>
      </c>
      <c r="F477" s="416"/>
      <c r="G477" s="26"/>
      <c r="H477" s="26"/>
      <c r="I477" s="26"/>
      <c r="J477" s="26"/>
    </row>
    <row r="478" spans="1:10" ht="15.95" customHeight="1">
      <c r="A478" s="169" t="s">
        <v>607</v>
      </c>
      <c r="B478" s="414"/>
      <c r="C478" s="472" t="s">
        <v>614</v>
      </c>
      <c r="D478" s="483">
        <v>1</v>
      </c>
      <c r="E478" s="241" t="s">
        <v>17</v>
      </c>
      <c r="F478" s="411" t="s">
        <v>943</v>
      </c>
      <c r="G478" s="26"/>
      <c r="H478" s="26"/>
      <c r="I478" s="26"/>
      <c r="J478" s="26"/>
    </row>
    <row r="479" spans="1:10" ht="15.95" customHeight="1">
      <c r="A479" s="249" t="s">
        <v>463</v>
      </c>
      <c r="B479" s="395">
        <v>43116</v>
      </c>
      <c r="C479" s="462" t="s">
        <v>1011</v>
      </c>
      <c r="D479" s="485">
        <v>13</v>
      </c>
      <c r="E479" s="77" t="s">
        <v>14</v>
      </c>
      <c r="F479" s="394"/>
      <c r="G479" s="26"/>
      <c r="H479" s="26"/>
      <c r="I479" s="26"/>
      <c r="J479" s="26"/>
    </row>
    <row r="480" spans="1:10" ht="15.95" customHeight="1">
      <c r="A480" s="169" t="s">
        <v>744</v>
      </c>
      <c r="B480" s="387">
        <v>42382</v>
      </c>
      <c r="C480" s="461" t="s">
        <v>354</v>
      </c>
      <c r="D480" s="483">
        <v>50</v>
      </c>
      <c r="E480" s="421" t="s">
        <v>1160</v>
      </c>
      <c r="F480" s="392"/>
      <c r="G480" s="26"/>
      <c r="H480" s="26"/>
      <c r="I480" s="26"/>
      <c r="J480" s="26"/>
    </row>
    <row r="481" spans="1:10" ht="15.95" customHeight="1">
      <c r="A481" s="169" t="s">
        <v>427</v>
      </c>
      <c r="B481" s="389">
        <v>41289</v>
      </c>
      <c r="C481" s="461" t="s">
        <v>68</v>
      </c>
      <c r="D481" s="484">
        <v>60</v>
      </c>
      <c r="E481" s="243" t="s">
        <v>1160</v>
      </c>
      <c r="F481" s="405" t="s">
        <v>1202</v>
      </c>
      <c r="G481" s="26"/>
      <c r="H481" s="26"/>
      <c r="I481" s="26"/>
      <c r="J481" s="26"/>
    </row>
    <row r="482" spans="1:10" ht="15.95" customHeight="1">
      <c r="A482" s="169" t="s">
        <v>965</v>
      </c>
      <c r="B482" s="395">
        <v>43150</v>
      </c>
      <c r="C482" s="462" t="s">
        <v>902</v>
      </c>
      <c r="D482" s="484">
        <v>20</v>
      </c>
      <c r="E482" s="239" t="s">
        <v>17</v>
      </c>
      <c r="F482" s="396"/>
      <c r="G482" s="26"/>
      <c r="H482" s="26"/>
      <c r="I482" s="26"/>
      <c r="J482" s="26"/>
    </row>
    <row r="483" spans="1:10" ht="15.95" customHeight="1">
      <c r="A483" s="123" t="s">
        <v>115</v>
      </c>
      <c r="B483" s="395">
        <v>43124</v>
      </c>
      <c r="C483" s="462" t="s">
        <v>1196</v>
      </c>
      <c r="D483" s="485">
        <v>5</v>
      </c>
      <c r="E483" s="77" t="s">
        <v>17</v>
      </c>
      <c r="F483" s="394"/>
      <c r="G483" s="26"/>
      <c r="H483" s="26"/>
      <c r="I483" s="26"/>
      <c r="J483" s="26"/>
    </row>
    <row r="484" spans="1:10" ht="15.95" customHeight="1">
      <c r="A484" s="169" t="s">
        <v>568</v>
      </c>
      <c r="B484" s="395">
        <v>43157</v>
      </c>
      <c r="C484" s="466" t="s">
        <v>1167</v>
      </c>
      <c r="D484" s="485">
        <v>0.99999999999999989</v>
      </c>
      <c r="E484" s="77" t="s">
        <v>17</v>
      </c>
      <c r="F484" s="388" t="s">
        <v>1254</v>
      </c>
      <c r="G484" s="26"/>
      <c r="H484" s="26"/>
      <c r="I484" s="26"/>
      <c r="J484" s="26"/>
    </row>
    <row r="485" spans="1:10" ht="15.95" customHeight="1">
      <c r="A485" s="169" t="s">
        <v>540</v>
      </c>
      <c r="B485" s="393">
        <v>42878</v>
      </c>
      <c r="C485" s="460" t="s">
        <v>681</v>
      </c>
      <c r="D485" s="484">
        <v>3</v>
      </c>
      <c r="E485" s="239" t="s">
        <v>674</v>
      </c>
      <c r="F485" s="394"/>
      <c r="G485" s="26"/>
      <c r="H485" s="26"/>
      <c r="I485" s="26"/>
      <c r="J485" s="26"/>
    </row>
    <row r="486" spans="1:10" ht="15.95" customHeight="1">
      <c r="A486" s="169" t="s">
        <v>540</v>
      </c>
      <c r="B486" s="393">
        <v>42878</v>
      </c>
      <c r="C486" s="460" t="s">
        <v>687</v>
      </c>
      <c r="D486" s="484">
        <v>6</v>
      </c>
      <c r="E486" s="239" t="s">
        <v>674</v>
      </c>
      <c r="F486" s="394"/>
      <c r="G486" s="26"/>
      <c r="H486" s="26"/>
      <c r="I486" s="26"/>
      <c r="J486" s="26"/>
    </row>
    <row r="487" spans="1:10" ht="15.95" customHeight="1">
      <c r="A487" s="169" t="s">
        <v>540</v>
      </c>
      <c r="B487" s="393">
        <v>42878</v>
      </c>
      <c r="C487" s="460" t="s">
        <v>684</v>
      </c>
      <c r="D487" s="484">
        <v>11</v>
      </c>
      <c r="E487" s="239" t="s">
        <v>674</v>
      </c>
      <c r="F487" s="394"/>
      <c r="G487" s="26"/>
      <c r="H487" s="26"/>
      <c r="I487" s="26"/>
      <c r="J487" s="26"/>
    </row>
    <row r="488" spans="1:10" ht="15.95" customHeight="1">
      <c r="A488" s="169" t="s">
        <v>540</v>
      </c>
      <c r="B488" s="393">
        <v>42878</v>
      </c>
      <c r="C488" s="460" t="s">
        <v>690</v>
      </c>
      <c r="D488" s="484">
        <v>11</v>
      </c>
      <c r="E488" s="239" t="s">
        <v>674</v>
      </c>
      <c r="F488" s="394"/>
      <c r="G488" s="26"/>
      <c r="H488" s="26"/>
      <c r="I488" s="26"/>
      <c r="J488" s="26"/>
    </row>
    <row r="489" spans="1:10" ht="15.95" customHeight="1">
      <c r="A489" s="169" t="s">
        <v>540</v>
      </c>
      <c r="B489" s="393">
        <v>42878</v>
      </c>
      <c r="C489" s="460" t="s">
        <v>688</v>
      </c>
      <c r="D489" s="484">
        <v>11</v>
      </c>
      <c r="E489" s="239" t="s">
        <v>674</v>
      </c>
      <c r="F489" s="394"/>
      <c r="G489" s="26"/>
      <c r="H489" s="26"/>
      <c r="I489" s="26"/>
      <c r="J489" s="26"/>
    </row>
    <row r="490" spans="1:10" ht="15.95" customHeight="1">
      <c r="A490" s="169" t="s">
        <v>540</v>
      </c>
      <c r="B490" s="393">
        <v>42878</v>
      </c>
      <c r="C490" s="460" t="s">
        <v>689</v>
      </c>
      <c r="D490" s="484">
        <v>9</v>
      </c>
      <c r="E490" s="239" t="s">
        <v>674</v>
      </c>
      <c r="F490" s="394"/>
      <c r="G490" s="26"/>
      <c r="H490" s="26"/>
      <c r="I490" s="26"/>
      <c r="J490" s="26"/>
    </row>
    <row r="491" spans="1:10" ht="15.95" customHeight="1">
      <c r="A491" s="169" t="s">
        <v>377</v>
      </c>
      <c r="B491" s="387">
        <v>42346</v>
      </c>
      <c r="C491" s="460" t="s">
        <v>356</v>
      </c>
      <c r="D491" s="483">
        <v>3</v>
      </c>
      <c r="E491" s="243" t="s">
        <v>1160</v>
      </c>
      <c r="F491" s="406"/>
      <c r="G491" s="26"/>
      <c r="H491" s="26"/>
      <c r="I491" s="26"/>
      <c r="J491" s="26"/>
    </row>
    <row r="492" spans="1:10" ht="15.95" customHeight="1">
      <c r="A492" s="169" t="s">
        <v>377</v>
      </c>
      <c r="B492" s="387">
        <v>42346</v>
      </c>
      <c r="C492" s="460" t="s">
        <v>356</v>
      </c>
      <c r="D492" s="483">
        <v>3</v>
      </c>
      <c r="E492" s="243" t="s">
        <v>1160</v>
      </c>
      <c r="F492" s="406"/>
      <c r="G492" s="26"/>
      <c r="H492" s="26"/>
      <c r="I492" s="26"/>
      <c r="J492" s="26"/>
    </row>
    <row r="493" spans="1:10" ht="15.95" customHeight="1">
      <c r="A493" s="169" t="s">
        <v>377</v>
      </c>
      <c r="B493" s="387">
        <v>42592</v>
      </c>
      <c r="C493" s="460" t="s">
        <v>356</v>
      </c>
      <c r="D493" s="483">
        <v>6</v>
      </c>
      <c r="E493" s="243" t="s">
        <v>1160</v>
      </c>
      <c r="F493" s="405"/>
      <c r="G493" s="26"/>
      <c r="H493" s="26"/>
      <c r="I493" s="26"/>
      <c r="J493" s="26"/>
    </row>
    <row r="494" spans="1:10" ht="15.95" customHeight="1">
      <c r="A494" s="169" t="s">
        <v>142</v>
      </c>
      <c r="B494" s="387">
        <v>40932</v>
      </c>
      <c r="C494" s="460" t="s">
        <v>37</v>
      </c>
      <c r="D494" s="485">
        <v>8</v>
      </c>
      <c r="E494" s="243" t="s">
        <v>1134</v>
      </c>
      <c r="F494" s="394" t="s">
        <v>1158</v>
      </c>
      <c r="G494" s="26"/>
      <c r="H494" s="26"/>
      <c r="I494" s="26"/>
      <c r="J494" s="26"/>
    </row>
    <row r="495" spans="1:10" ht="15.95" customHeight="1">
      <c r="A495" s="169" t="s">
        <v>142</v>
      </c>
      <c r="B495" s="387">
        <v>40932</v>
      </c>
      <c r="C495" s="460" t="s">
        <v>37</v>
      </c>
      <c r="D495" s="485">
        <v>17</v>
      </c>
      <c r="E495" s="243" t="s">
        <v>1134</v>
      </c>
      <c r="F495" s="394" t="s">
        <v>1159</v>
      </c>
      <c r="G495" s="26"/>
      <c r="H495" s="26"/>
      <c r="I495" s="26"/>
      <c r="J495" s="26"/>
    </row>
    <row r="496" spans="1:10" ht="15.95" customHeight="1">
      <c r="A496" s="249" t="s">
        <v>534</v>
      </c>
      <c r="B496" s="414">
        <v>40932</v>
      </c>
      <c r="C496" s="471" t="s">
        <v>38</v>
      </c>
      <c r="D496" s="483">
        <v>12.74</v>
      </c>
      <c r="E496" s="243" t="s">
        <v>1134</v>
      </c>
      <c r="F496" s="415"/>
      <c r="G496" s="26"/>
      <c r="H496" s="26"/>
      <c r="I496" s="26"/>
      <c r="J496" s="26"/>
    </row>
    <row r="497" spans="1:10" ht="15.95" customHeight="1">
      <c r="A497" s="249" t="s">
        <v>657</v>
      </c>
      <c r="B497" s="414">
        <v>40932</v>
      </c>
      <c r="C497" s="471" t="s">
        <v>38</v>
      </c>
      <c r="D497" s="483">
        <v>1</v>
      </c>
      <c r="E497" s="77" t="s">
        <v>17</v>
      </c>
      <c r="F497" s="415"/>
      <c r="G497" s="26"/>
      <c r="H497" s="26"/>
      <c r="I497" s="26"/>
      <c r="J497" s="26"/>
    </row>
    <row r="498" spans="1:10" ht="15.95" customHeight="1">
      <c r="A498" s="249" t="s">
        <v>657</v>
      </c>
      <c r="B498" s="414">
        <v>40932</v>
      </c>
      <c r="C498" s="471" t="s">
        <v>38</v>
      </c>
      <c r="D498" s="483">
        <v>1</v>
      </c>
      <c r="E498" s="77" t="s">
        <v>17</v>
      </c>
      <c r="F498" s="415"/>
      <c r="G498" s="26"/>
      <c r="H498" s="26"/>
      <c r="I498" s="26"/>
      <c r="J498" s="26"/>
    </row>
    <row r="499" spans="1:10" ht="15.95" customHeight="1">
      <c r="A499" s="169" t="s">
        <v>142</v>
      </c>
      <c r="B499" s="387">
        <v>40932</v>
      </c>
      <c r="C499" s="460" t="s">
        <v>38</v>
      </c>
      <c r="D499" s="485">
        <v>16</v>
      </c>
      <c r="E499" s="243" t="s">
        <v>1134</v>
      </c>
      <c r="F499" s="394" t="s">
        <v>1159</v>
      </c>
      <c r="G499" s="26"/>
      <c r="H499" s="26"/>
      <c r="I499" s="26"/>
      <c r="J499" s="26"/>
    </row>
    <row r="500" spans="1:10" ht="15.95" customHeight="1">
      <c r="A500" s="169" t="s">
        <v>838</v>
      </c>
      <c r="B500" s="387">
        <v>42888</v>
      </c>
      <c r="C500" s="375" t="s">
        <v>660</v>
      </c>
      <c r="D500" s="485">
        <v>6</v>
      </c>
      <c r="E500" s="77" t="s">
        <v>17</v>
      </c>
      <c r="F500" s="394"/>
      <c r="G500" s="26"/>
      <c r="H500" s="26"/>
      <c r="I500" s="26"/>
      <c r="J500" s="26"/>
    </row>
    <row r="501" spans="1:10" ht="15.95" customHeight="1">
      <c r="A501" s="15" t="s">
        <v>716</v>
      </c>
      <c r="B501" s="395">
        <v>43181</v>
      </c>
      <c r="C501" s="466"/>
      <c r="D501" s="485">
        <v>32</v>
      </c>
      <c r="E501" s="77" t="s">
        <v>17</v>
      </c>
      <c r="F501" s="390" t="s">
        <v>777</v>
      </c>
      <c r="G501" s="26"/>
      <c r="H501" s="26"/>
      <c r="I501" s="26"/>
      <c r="J501" s="26"/>
    </row>
    <row r="502" spans="1:10" ht="15.95" customHeight="1">
      <c r="A502" s="169" t="s">
        <v>193</v>
      </c>
      <c r="B502" s="387"/>
      <c r="C502" s="460"/>
      <c r="D502" s="485">
        <v>1</v>
      </c>
      <c r="E502" s="77" t="s">
        <v>268</v>
      </c>
      <c r="F502" s="394"/>
      <c r="G502" s="26"/>
      <c r="H502" s="26"/>
      <c r="I502" s="26"/>
      <c r="J502" s="26"/>
    </row>
    <row r="503" spans="1:10" ht="15.95" customHeight="1">
      <c r="A503" s="169" t="s">
        <v>1130</v>
      </c>
      <c r="B503" s="393"/>
      <c r="C503" s="460"/>
      <c r="D503" s="484">
        <v>1</v>
      </c>
      <c r="E503" s="243" t="s">
        <v>1160</v>
      </c>
      <c r="F503" s="394"/>
      <c r="G503" s="26"/>
      <c r="H503" s="26"/>
      <c r="I503" s="26"/>
      <c r="J503" s="26"/>
    </row>
    <row r="504" spans="1:10" ht="15.95" customHeight="1">
      <c r="A504" s="169" t="s">
        <v>741</v>
      </c>
      <c r="B504" s="387"/>
      <c r="C504" s="460"/>
      <c r="D504" s="485">
        <v>1</v>
      </c>
      <c r="E504" s="77" t="s">
        <v>17</v>
      </c>
      <c r="F504" s="394"/>
      <c r="G504" s="26"/>
      <c r="H504" s="26"/>
      <c r="I504" s="26"/>
      <c r="J504" s="26"/>
    </row>
    <row r="505" spans="1:10" ht="15.95" customHeight="1">
      <c r="A505" s="123" t="s">
        <v>816</v>
      </c>
      <c r="B505" s="414"/>
      <c r="C505" s="460"/>
      <c r="D505" s="483">
        <v>1</v>
      </c>
      <c r="E505" s="238" t="s">
        <v>268</v>
      </c>
      <c r="F505" s="411"/>
      <c r="G505" s="26"/>
      <c r="H505" s="26"/>
      <c r="I505" s="26"/>
      <c r="J505" s="26"/>
    </row>
    <row r="506" spans="1:10" ht="15.95" customHeight="1">
      <c r="A506" s="261" t="s">
        <v>427</v>
      </c>
      <c r="B506" s="430">
        <v>43147</v>
      </c>
      <c r="C506" s="476"/>
      <c r="D506" s="490">
        <v>1</v>
      </c>
      <c r="E506" s="431" t="s">
        <v>268</v>
      </c>
      <c r="F506" s="432"/>
      <c r="G506" s="26"/>
      <c r="H506" s="26"/>
      <c r="I506" s="26"/>
      <c r="J506" s="26"/>
    </row>
    <row r="507" spans="1:10" ht="15.95" customHeight="1">
      <c r="A507" s="249" t="s">
        <v>427</v>
      </c>
      <c r="B507" s="395">
        <v>43180</v>
      </c>
      <c r="C507" s="466"/>
      <c r="D507" s="485">
        <v>1</v>
      </c>
      <c r="E507" s="77" t="s">
        <v>268</v>
      </c>
      <c r="F507" s="388"/>
      <c r="G507" s="26"/>
      <c r="H507" s="26"/>
      <c r="I507" s="26"/>
      <c r="J507" s="26"/>
    </row>
    <row r="508" spans="1:10" ht="15.95" customHeight="1">
      <c r="A508" s="15" t="s">
        <v>990</v>
      </c>
      <c r="B508" s="393">
        <v>43214</v>
      </c>
      <c r="C508" s="460"/>
      <c r="D508" s="484">
        <v>2</v>
      </c>
      <c r="E508" s="239" t="s">
        <v>17</v>
      </c>
      <c r="F508" s="416" t="s">
        <v>1264</v>
      </c>
      <c r="G508" s="26"/>
      <c r="H508" s="26"/>
      <c r="I508" s="26"/>
      <c r="J508" s="26"/>
    </row>
    <row r="509" spans="1:10" ht="15.95" customHeight="1">
      <c r="A509" s="249" t="s">
        <v>990</v>
      </c>
      <c r="B509" s="395">
        <v>43166</v>
      </c>
      <c r="C509" s="466"/>
      <c r="D509" s="485">
        <v>2</v>
      </c>
      <c r="E509" s="77" t="s">
        <v>17</v>
      </c>
      <c r="F509" s="388" t="s">
        <v>1155</v>
      </c>
      <c r="G509" s="26"/>
      <c r="H509" s="26"/>
      <c r="I509" s="26"/>
      <c r="J509" s="26"/>
    </row>
    <row r="510" spans="1:10" ht="15.95" customHeight="1">
      <c r="A510" s="169" t="s">
        <v>836</v>
      </c>
      <c r="B510" s="387"/>
      <c r="C510" s="460"/>
      <c r="D510" s="485">
        <v>0.1</v>
      </c>
      <c r="E510" s="77" t="s">
        <v>14</v>
      </c>
      <c r="F510" s="394" t="s">
        <v>1148</v>
      </c>
      <c r="G510" s="26"/>
      <c r="H510" s="26"/>
      <c r="I510" s="26"/>
      <c r="J510" s="26"/>
    </row>
    <row r="511" spans="1:10" ht="15.95" customHeight="1">
      <c r="A511" s="169" t="s">
        <v>1027</v>
      </c>
      <c r="B511" s="395">
        <v>43124</v>
      </c>
      <c r="C511" s="466"/>
      <c r="D511" s="254">
        <v>1.75</v>
      </c>
      <c r="E511" s="77" t="s">
        <v>17</v>
      </c>
      <c r="F511" s="394" t="s">
        <v>1254</v>
      </c>
      <c r="G511" s="26"/>
      <c r="H511" s="26"/>
      <c r="I511" s="26"/>
      <c r="J511" s="26"/>
    </row>
    <row r="512" spans="1:10" ht="15.95" customHeight="1">
      <c r="A512" s="133"/>
      <c r="B512" s="387"/>
      <c r="C512" s="460"/>
      <c r="D512" s="248"/>
      <c r="E512" s="243"/>
      <c r="F512" s="388"/>
      <c r="G512" s="26"/>
      <c r="H512" s="26"/>
      <c r="I512" s="26"/>
      <c r="J512" s="26"/>
    </row>
    <row r="513" spans="1:10" ht="15.95" customHeight="1">
      <c r="A513" s="133"/>
      <c r="B513" s="387"/>
      <c r="C513" s="460"/>
      <c r="D513" s="248"/>
      <c r="E513" s="237"/>
      <c r="F513" s="388"/>
      <c r="G513" s="26"/>
      <c r="H513" s="26"/>
      <c r="I513" s="26"/>
      <c r="J513" s="26"/>
    </row>
    <row r="514" spans="1:10" ht="15.95" customHeight="1">
      <c r="A514" s="133"/>
      <c r="B514" s="387"/>
      <c r="C514" s="460"/>
      <c r="D514" s="248"/>
      <c r="E514" s="237"/>
      <c r="F514" s="388"/>
      <c r="G514" s="26"/>
      <c r="H514" s="26"/>
      <c r="I514" s="26"/>
      <c r="J514" s="26"/>
    </row>
    <row r="515" spans="1:10" ht="15.95" customHeight="1">
      <c r="A515" s="133"/>
      <c r="B515" s="387"/>
      <c r="C515" s="460"/>
      <c r="D515" s="248"/>
      <c r="E515" s="243"/>
      <c r="F515" s="388"/>
      <c r="G515" s="26"/>
      <c r="H515" s="26"/>
      <c r="I515" s="26"/>
      <c r="J515" s="26"/>
    </row>
    <row r="516" spans="1:10" ht="15.95" customHeight="1">
      <c r="A516" s="133"/>
      <c r="B516" s="387"/>
      <c r="C516" s="460"/>
      <c r="D516" s="248"/>
      <c r="E516" s="243"/>
      <c r="F516" s="388"/>
      <c r="G516" s="26"/>
      <c r="H516" s="26"/>
      <c r="I516" s="26"/>
      <c r="J516" s="26"/>
    </row>
    <row r="517" spans="1:10" ht="15.95" customHeight="1">
      <c r="A517" s="297"/>
      <c r="B517" s="455"/>
      <c r="C517" s="480"/>
      <c r="D517" s="298" t="s">
        <v>1003</v>
      </c>
      <c r="E517" s="454"/>
      <c r="F517" s="454"/>
      <c r="G517" s="26"/>
      <c r="H517" s="26"/>
      <c r="I517" s="26"/>
      <c r="J517" s="26"/>
    </row>
    <row r="518" spans="1:10" ht="15.95" customHeight="1">
      <c r="A518" s="169" t="s">
        <v>607</v>
      </c>
      <c r="B518" s="414"/>
      <c r="C518" s="472"/>
      <c r="D518" s="248">
        <v>1</v>
      </c>
      <c r="E518" s="241"/>
      <c r="F518" s="411" t="s">
        <v>943</v>
      </c>
      <c r="G518" s="26"/>
      <c r="H518" s="26"/>
      <c r="I518" s="26"/>
      <c r="J518" s="26"/>
    </row>
    <row r="519" spans="1:10" ht="15.95" customHeight="1">
      <c r="B519" s="456"/>
      <c r="E519" s="457"/>
      <c r="F519" s="443"/>
      <c r="G519" s="26"/>
      <c r="H519" s="26"/>
      <c r="I519" s="26"/>
      <c r="J519" s="26"/>
    </row>
    <row r="520" spans="1:10" ht="15.95" customHeight="1">
      <c r="B520" s="456"/>
      <c r="E520" s="457"/>
      <c r="F520" s="443"/>
      <c r="G520" s="26"/>
      <c r="H520" s="26"/>
      <c r="I520" s="26"/>
      <c r="J520" s="26"/>
    </row>
    <row r="521" spans="1:10" ht="15.95" customHeight="1">
      <c r="B521" s="456"/>
      <c r="E521" s="457"/>
      <c r="F521" s="443"/>
      <c r="G521" s="26"/>
      <c r="H521" s="26"/>
      <c r="I521" s="26"/>
      <c r="J521" s="26"/>
    </row>
    <row r="522" spans="1:10" ht="15.95" customHeight="1">
      <c r="B522" s="456"/>
      <c r="E522" s="457"/>
      <c r="F522" s="443"/>
      <c r="G522" s="26"/>
      <c r="H522" s="26"/>
      <c r="I522" s="26"/>
      <c r="J522" s="26"/>
    </row>
    <row r="523" spans="1:10" ht="15.95" customHeight="1">
      <c r="B523" s="456"/>
      <c r="E523" s="457"/>
      <c r="F523" s="443"/>
      <c r="G523" s="26"/>
      <c r="H523" s="26"/>
      <c r="I523" s="26"/>
      <c r="J523" s="26"/>
    </row>
    <row r="524" spans="1:10" ht="15.95" customHeight="1">
      <c r="B524" s="456"/>
      <c r="E524" s="457"/>
      <c r="F524" s="443"/>
      <c r="G524" s="26"/>
      <c r="H524" s="26"/>
      <c r="I524" s="26"/>
      <c r="J524" s="26"/>
    </row>
    <row r="525" spans="1:10" ht="15.95" customHeight="1">
      <c r="B525" s="456"/>
      <c r="E525" s="457"/>
      <c r="F525" s="443"/>
      <c r="G525" s="26"/>
      <c r="H525" s="26"/>
      <c r="I525" s="26"/>
      <c r="J525" s="26"/>
    </row>
    <row r="526" spans="1:10" ht="15.95" customHeight="1">
      <c r="B526" s="456"/>
      <c r="E526" s="457"/>
      <c r="F526" s="443"/>
      <c r="G526" s="26"/>
      <c r="H526" s="26"/>
      <c r="I526" s="26"/>
      <c r="J526" s="26"/>
    </row>
    <row r="527" spans="1:10" ht="15.95" customHeight="1">
      <c r="B527" s="456"/>
      <c r="E527" s="457"/>
      <c r="F527" s="443"/>
      <c r="G527" s="26"/>
      <c r="H527" s="26"/>
      <c r="I527" s="26"/>
      <c r="J527" s="26"/>
    </row>
    <row r="528" spans="1:10" ht="15.95" customHeight="1">
      <c r="B528" s="456"/>
      <c r="E528" s="457"/>
      <c r="F528" s="443"/>
      <c r="G528" s="26"/>
      <c r="H528" s="26"/>
      <c r="I528" s="26"/>
      <c r="J528" s="26"/>
    </row>
    <row r="529" spans="2:10" ht="15.95" customHeight="1">
      <c r="B529" s="456"/>
      <c r="E529" s="457"/>
      <c r="F529" s="443"/>
      <c r="G529" s="26"/>
      <c r="H529" s="26"/>
      <c r="I529" s="26"/>
      <c r="J529" s="26"/>
    </row>
    <row r="530" spans="2:10" ht="15.95" customHeight="1">
      <c r="B530" s="456"/>
      <c r="E530" s="457"/>
      <c r="F530" s="443"/>
      <c r="G530" s="26"/>
      <c r="H530" s="26"/>
      <c r="I530" s="26"/>
      <c r="J530" s="26"/>
    </row>
    <row r="531" spans="2:10" ht="15.95" customHeight="1">
      <c r="B531" s="456"/>
      <c r="E531" s="457"/>
      <c r="F531" s="443"/>
      <c r="G531" s="26"/>
      <c r="H531" s="26"/>
      <c r="I531" s="26"/>
      <c r="J531" s="26"/>
    </row>
    <row r="532" spans="2:10" ht="15.95" customHeight="1">
      <c r="B532" s="456"/>
      <c r="E532" s="457"/>
      <c r="F532" s="443"/>
      <c r="G532" s="26"/>
      <c r="H532" s="26"/>
      <c r="I532" s="26"/>
      <c r="J532" s="26"/>
    </row>
    <row r="533" spans="2:10" ht="15.95" customHeight="1">
      <c r="B533" s="456"/>
      <c r="E533" s="457"/>
      <c r="F533" s="443"/>
      <c r="G533" s="26"/>
      <c r="H533" s="26"/>
      <c r="I533" s="26"/>
      <c r="J533" s="26"/>
    </row>
    <row r="534" spans="2:10" ht="15.95" customHeight="1">
      <c r="B534" s="456"/>
      <c r="E534" s="457"/>
      <c r="F534" s="443"/>
      <c r="G534" s="26"/>
      <c r="H534" s="26"/>
      <c r="I534" s="26"/>
      <c r="J534" s="26"/>
    </row>
    <row r="535" spans="2:10" ht="15.95" customHeight="1">
      <c r="B535" s="456"/>
      <c r="E535" s="457"/>
      <c r="F535" s="443"/>
      <c r="G535" s="26"/>
      <c r="H535" s="26"/>
      <c r="I535" s="26"/>
      <c r="J535" s="26"/>
    </row>
    <row r="536" spans="2:10" ht="15.95" customHeight="1">
      <c r="B536" s="456"/>
      <c r="E536" s="457"/>
      <c r="F536" s="443"/>
      <c r="G536" s="26"/>
      <c r="H536" s="26"/>
      <c r="I536" s="26"/>
      <c r="J536" s="26"/>
    </row>
    <row r="537" spans="2:10" ht="15.95" customHeight="1">
      <c r="B537" s="456"/>
      <c r="E537" s="457"/>
      <c r="F537" s="443"/>
      <c r="G537" s="26"/>
      <c r="H537" s="26"/>
      <c r="I537" s="26"/>
      <c r="J537" s="26"/>
    </row>
    <row r="538" spans="2:10" ht="15.95" customHeight="1">
      <c r="B538" s="456"/>
      <c r="E538" s="457"/>
      <c r="F538" s="443"/>
      <c r="G538" s="26"/>
      <c r="H538" s="26"/>
      <c r="I538" s="26"/>
      <c r="J538" s="26"/>
    </row>
    <row r="539" spans="2:10" ht="15.95" customHeight="1">
      <c r="B539" s="456"/>
      <c r="E539" s="457"/>
      <c r="F539" s="443"/>
      <c r="G539" s="26"/>
      <c r="H539" s="26"/>
      <c r="I539" s="26"/>
      <c r="J539" s="26"/>
    </row>
    <row r="540" spans="2:10" ht="15.95" customHeight="1">
      <c r="B540" s="456"/>
      <c r="E540" s="457"/>
      <c r="F540" s="443"/>
      <c r="G540" s="26"/>
      <c r="H540" s="26"/>
      <c r="I540" s="26"/>
      <c r="J540" s="26"/>
    </row>
    <row r="541" spans="2:10" ht="15.95" customHeight="1">
      <c r="B541" s="456"/>
      <c r="E541" s="457"/>
      <c r="F541" s="443"/>
      <c r="G541" s="26"/>
      <c r="H541" s="26"/>
      <c r="I541" s="26"/>
      <c r="J541" s="26"/>
    </row>
    <row r="542" spans="2:10" ht="15.95" customHeight="1">
      <c r="B542" s="456"/>
      <c r="E542" s="457"/>
      <c r="F542" s="443"/>
      <c r="G542" s="26"/>
      <c r="H542" s="26"/>
      <c r="I542" s="26"/>
      <c r="J542" s="26"/>
    </row>
    <row r="543" spans="2:10" ht="15.95" customHeight="1">
      <c r="B543" s="456"/>
      <c r="E543" s="457"/>
      <c r="F543" s="443"/>
      <c r="G543" s="26"/>
      <c r="H543" s="26"/>
      <c r="I543" s="26"/>
      <c r="J543" s="26"/>
    </row>
    <row r="544" spans="2:10" ht="15.95" customHeight="1">
      <c r="B544" s="456"/>
      <c r="E544" s="457"/>
      <c r="F544" s="443"/>
      <c r="G544" s="26"/>
      <c r="H544" s="26"/>
      <c r="I544" s="26"/>
      <c r="J544" s="26"/>
    </row>
    <row r="545" spans="2:10" ht="15.95" customHeight="1">
      <c r="B545" s="456"/>
      <c r="E545" s="457"/>
      <c r="F545" s="443"/>
      <c r="G545" s="26"/>
      <c r="H545" s="26"/>
      <c r="I545" s="26"/>
      <c r="J545" s="26"/>
    </row>
    <row r="546" spans="2:10" ht="15.95" customHeight="1">
      <c r="B546" s="456"/>
      <c r="E546" s="457"/>
      <c r="F546" s="443"/>
      <c r="G546" s="26"/>
      <c r="H546" s="26"/>
      <c r="I546" s="26"/>
      <c r="J546" s="26"/>
    </row>
    <row r="547" spans="2:10" ht="15.95" customHeight="1">
      <c r="B547" s="456"/>
      <c r="E547" s="457"/>
      <c r="F547" s="443"/>
      <c r="G547" s="26"/>
      <c r="H547" s="26"/>
      <c r="I547" s="26"/>
      <c r="J547" s="26"/>
    </row>
    <row r="548" spans="2:10" ht="15.95" customHeight="1">
      <c r="B548" s="456"/>
      <c r="E548" s="457"/>
      <c r="F548" s="443"/>
      <c r="G548" s="26"/>
      <c r="H548" s="26"/>
      <c r="I548" s="26"/>
      <c r="J548" s="26"/>
    </row>
    <row r="549" spans="2:10" ht="15.95" customHeight="1">
      <c r="B549" s="456"/>
      <c r="E549" s="457"/>
      <c r="F549" s="443"/>
      <c r="G549" s="26"/>
      <c r="H549" s="26"/>
      <c r="I549" s="26"/>
      <c r="J549" s="26"/>
    </row>
    <row r="550" spans="2:10" ht="15.95" customHeight="1">
      <c r="B550" s="456"/>
      <c r="E550" s="457"/>
      <c r="F550" s="443"/>
      <c r="G550" s="26"/>
      <c r="H550" s="26"/>
      <c r="I550" s="26"/>
      <c r="J550" s="26"/>
    </row>
    <row r="551" spans="2:10" ht="15.95" customHeight="1">
      <c r="B551" s="456"/>
      <c r="E551" s="457"/>
      <c r="F551" s="443"/>
      <c r="G551" s="26"/>
      <c r="H551" s="26"/>
      <c r="I551" s="26"/>
      <c r="J551" s="26"/>
    </row>
    <row r="552" spans="2:10" ht="15.95" customHeight="1">
      <c r="B552" s="456"/>
      <c r="E552" s="457"/>
      <c r="F552" s="443"/>
      <c r="G552" s="26"/>
      <c r="H552" s="26"/>
      <c r="I552" s="26"/>
      <c r="J552" s="26"/>
    </row>
    <row r="553" spans="2:10" ht="15.95" customHeight="1">
      <c r="B553" s="456"/>
      <c r="E553" s="457"/>
      <c r="F553" s="443"/>
      <c r="G553" s="26"/>
      <c r="H553" s="26"/>
      <c r="I553" s="26"/>
      <c r="J553" s="26"/>
    </row>
    <row r="554" spans="2:10" ht="15.95" customHeight="1">
      <c r="B554" s="456"/>
      <c r="E554" s="457"/>
      <c r="F554" s="443"/>
      <c r="G554" s="26"/>
      <c r="H554" s="26"/>
      <c r="I554" s="26"/>
      <c r="J554" s="26"/>
    </row>
    <row r="555" spans="2:10" ht="15.95" customHeight="1">
      <c r="B555" s="456"/>
      <c r="E555" s="457"/>
      <c r="F555" s="443"/>
      <c r="G555" s="26"/>
      <c r="H555" s="26"/>
      <c r="I555" s="26"/>
      <c r="J555" s="26"/>
    </row>
    <row r="556" spans="2:10" ht="15.95" customHeight="1">
      <c r="B556" s="456"/>
      <c r="E556" s="457"/>
      <c r="F556" s="443"/>
      <c r="G556" s="26"/>
      <c r="H556" s="26"/>
      <c r="I556" s="26"/>
      <c r="J556" s="26"/>
    </row>
    <row r="557" spans="2:10" ht="15.95" customHeight="1">
      <c r="B557" s="456"/>
      <c r="E557" s="457"/>
      <c r="F557" s="443"/>
      <c r="G557" s="26"/>
      <c r="H557" s="26"/>
      <c r="I557" s="26"/>
      <c r="J557" s="26"/>
    </row>
    <row r="558" spans="2:10" ht="15.95" customHeight="1">
      <c r="B558" s="456"/>
      <c r="E558" s="457"/>
      <c r="F558" s="443"/>
      <c r="G558" s="26"/>
      <c r="H558" s="26"/>
      <c r="I558" s="26"/>
      <c r="J558" s="26"/>
    </row>
    <row r="559" spans="2:10" ht="15.95" customHeight="1">
      <c r="B559" s="456"/>
      <c r="E559" s="457"/>
      <c r="F559" s="443"/>
      <c r="G559" s="26"/>
      <c r="H559" s="26"/>
      <c r="I559" s="26"/>
      <c r="J559" s="26"/>
    </row>
    <row r="560" spans="2:10" ht="15.95" customHeight="1">
      <c r="B560" s="456"/>
      <c r="E560" s="457"/>
      <c r="F560" s="443"/>
      <c r="G560" s="26"/>
      <c r="H560" s="26"/>
      <c r="I560" s="26"/>
      <c r="J560" s="26"/>
    </row>
    <row r="561" spans="2:10" ht="15.95" customHeight="1">
      <c r="B561" s="456"/>
      <c r="E561" s="457"/>
      <c r="F561" s="443"/>
      <c r="G561" s="26"/>
      <c r="H561" s="26"/>
      <c r="I561" s="26"/>
      <c r="J561" s="26"/>
    </row>
    <row r="562" spans="2:10" ht="15.95" customHeight="1">
      <c r="B562" s="456"/>
      <c r="E562" s="457"/>
      <c r="F562" s="443"/>
      <c r="G562" s="26"/>
      <c r="H562" s="26"/>
      <c r="I562" s="26"/>
      <c r="J562" s="26"/>
    </row>
    <row r="563" spans="2:10" ht="15.95" customHeight="1">
      <c r="B563" s="456"/>
      <c r="E563" s="457"/>
      <c r="F563" s="443"/>
      <c r="G563" s="26"/>
      <c r="H563" s="26"/>
      <c r="I563" s="26"/>
      <c r="J563" s="26"/>
    </row>
    <row r="564" spans="2:10" ht="15.95" customHeight="1">
      <c r="B564" s="456"/>
      <c r="E564" s="457"/>
      <c r="F564" s="443"/>
      <c r="G564" s="26"/>
      <c r="H564" s="26"/>
      <c r="I564" s="26"/>
      <c r="J564" s="26"/>
    </row>
    <row r="565" spans="2:10" ht="15.95" customHeight="1">
      <c r="B565" s="456"/>
      <c r="E565" s="457"/>
      <c r="F565" s="443"/>
      <c r="G565" s="26"/>
      <c r="H565" s="26"/>
      <c r="I565" s="26"/>
      <c r="J565" s="26"/>
    </row>
    <row r="566" spans="2:10" ht="15.95" customHeight="1">
      <c r="B566" s="456"/>
      <c r="E566" s="457"/>
      <c r="F566" s="443"/>
      <c r="G566" s="26"/>
      <c r="H566" s="26"/>
      <c r="I566" s="26"/>
      <c r="J566" s="26"/>
    </row>
    <row r="567" spans="2:10" ht="15.95" customHeight="1">
      <c r="B567" s="456"/>
      <c r="E567" s="457"/>
      <c r="F567" s="443"/>
      <c r="G567" s="26"/>
      <c r="H567" s="26"/>
      <c r="I567" s="26"/>
      <c r="J567" s="26"/>
    </row>
    <row r="568" spans="2:10" ht="15.95" customHeight="1">
      <c r="B568" s="456"/>
      <c r="E568" s="457"/>
      <c r="F568" s="443"/>
      <c r="G568" s="26"/>
      <c r="H568" s="26"/>
      <c r="I568" s="26"/>
      <c r="J568" s="26"/>
    </row>
    <row r="569" spans="2:10" ht="15.95" customHeight="1">
      <c r="B569" s="456"/>
      <c r="E569" s="457"/>
      <c r="F569" s="443"/>
      <c r="G569" s="26"/>
      <c r="H569" s="26"/>
      <c r="I569" s="26"/>
      <c r="J569" s="26"/>
    </row>
    <row r="570" spans="2:10" ht="15.95" customHeight="1">
      <c r="B570" s="456"/>
      <c r="E570" s="457"/>
      <c r="F570" s="443"/>
      <c r="G570" s="26"/>
      <c r="H570" s="26"/>
      <c r="I570" s="26"/>
      <c r="J570" s="26"/>
    </row>
    <row r="571" spans="2:10" ht="15.95" customHeight="1">
      <c r="B571" s="456"/>
      <c r="E571" s="457"/>
      <c r="F571" s="443"/>
      <c r="G571" s="26"/>
      <c r="H571" s="26"/>
      <c r="I571" s="26"/>
      <c r="J571" s="26"/>
    </row>
    <row r="572" spans="2:10" ht="15.95" customHeight="1">
      <c r="B572" s="456"/>
      <c r="E572" s="457"/>
      <c r="F572" s="443"/>
      <c r="G572" s="26"/>
      <c r="H572" s="26"/>
      <c r="I572" s="26"/>
      <c r="J572" s="26"/>
    </row>
    <row r="573" spans="2:10" ht="15.95" customHeight="1">
      <c r="B573" s="456"/>
      <c r="E573" s="457"/>
      <c r="F573" s="443"/>
      <c r="G573" s="26"/>
      <c r="H573" s="26"/>
      <c r="I573" s="26"/>
      <c r="J573" s="26"/>
    </row>
    <row r="574" spans="2:10" ht="15.95" customHeight="1">
      <c r="B574" s="456"/>
      <c r="E574" s="457"/>
      <c r="F574" s="443"/>
      <c r="G574" s="26"/>
      <c r="H574" s="26"/>
      <c r="I574" s="26"/>
      <c r="J574" s="26"/>
    </row>
    <row r="575" spans="2:10" ht="15.95" customHeight="1">
      <c r="B575" s="456"/>
      <c r="E575" s="457"/>
      <c r="F575" s="443"/>
      <c r="G575" s="26"/>
      <c r="H575" s="26"/>
      <c r="I575" s="26"/>
      <c r="J575" s="26"/>
    </row>
    <row r="576" spans="2:10" ht="15.95" customHeight="1">
      <c r="B576" s="456"/>
      <c r="E576" s="457"/>
      <c r="F576" s="443"/>
      <c r="G576" s="26"/>
      <c r="H576" s="26"/>
      <c r="I576" s="26"/>
      <c r="J576" s="26"/>
    </row>
    <row r="577" spans="2:10" ht="15.95" customHeight="1">
      <c r="B577" s="456"/>
      <c r="E577" s="457"/>
      <c r="F577" s="443"/>
      <c r="G577" s="26"/>
      <c r="H577" s="26"/>
      <c r="I577" s="26"/>
      <c r="J577" s="26"/>
    </row>
    <row r="578" spans="2:10" ht="15.95" customHeight="1">
      <c r="B578" s="456"/>
      <c r="E578" s="457"/>
      <c r="F578" s="443"/>
      <c r="G578" s="26"/>
      <c r="H578" s="26"/>
      <c r="I578" s="26"/>
      <c r="J578" s="26"/>
    </row>
    <row r="579" spans="2:10" ht="15.95" customHeight="1">
      <c r="B579" s="456"/>
      <c r="E579" s="457"/>
      <c r="F579" s="443"/>
      <c r="G579" s="26"/>
      <c r="H579" s="26"/>
      <c r="I579" s="26"/>
      <c r="J579" s="26"/>
    </row>
    <row r="580" spans="2:10" ht="15.95" customHeight="1">
      <c r="B580" s="456"/>
      <c r="E580" s="457"/>
      <c r="F580" s="443"/>
      <c r="G580" s="26"/>
      <c r="H580" s="26"/>
      <c r="I580" s="26"/>
      <c r="J580" s="26"/>
    </row>
    <row r="581" spans="2:10" ht="15.95" customHeight="1">
      <c r="B581" s="456"/>
      <c r="E581" s="457"/>
      <c r="F581" s="443"/>
      <c r="G581" s="26"/>
      <c r="H581" s="26"/>
      <c r="I581" s="26"/>
      <c r="J581" s="26"/>
    </row>
    <row r="582" spans="2:10" ht="15.95" customHeight="1">
      <c r="B582" s="456"/>
      <c r="E582" s="457"/>
      <c r="F582" s="443"/>
      <c r="G582" s="26"/>
      <c r="H582" s="26"/>
      <c r="I582" s="26"/>
      <c r="J582" s="26"/>
    </row>
    <row r="583" spans="2:10" ht="15.95" customHeight="1">
      <c r="B583" s="456"/>
      <c r="E583" s="457"/>
      <c r="F583" s="443"/>
      <c r="G583" s="26"/>
      <c r="H583" s="26"/>
      <c r="I583" s="26"/>
      <c r="J583" s="26"/>
    </row>
    <row r="584" spans="2:10" ht="15.95" customHeight="1">
      <c r="B584" s="456"/>
      <c r="E584" s="457"/>
      <c r="F584" s="443"/>
      <c r="G584" s="26"/>
      <c r="H584" s="26"/>
      <c r="I584" s="26"/>
      <c r="J584" s="26"/>
    </row>
    <row r="585" spans="2:10" ht="15.95" customHeight="1">
      <c r="B585" s="456"/>
      <c r="E585" s="457"/>
      <c r="F585" s="443"/>
      <c r="G585" s="26"/>
      <c r="H585" s="26"/>
      <c r="I585" s="26"/>
      <c r="J585" s="26"/>
    </row>
    <row r="586" spans="2:10" ht="15.95" customHeight="1">
      <c r="B586" s="456"/>
      <c r="E586" s="457"/>
      <c r="F586" s="443"/>
      <c r="G586" s="26"/>
      <c r="H586" s="26"/>
      <c r="I586" s="26"/>
      <c r="J586" s="26"/>
    </row>
    <row r="587" spans="2:10" ht="15.95" customHeight="1">
      <c r="B587" s="456"/>
      <c r="E587" s="457"/>
      <c r="F587" s="443"/>
      <c r="G587" s="26"/>
      <c r="H587" s="26"/>
      <c r="I587" s="26"/>
      <c r="J587" s="26"/>
    </row>
    <row r="588" spans="2:10" ht="15.95" customHeight="1">
      <c r="B588" s="456"/>
      <c r="E588" s="457"/>
      <c r="F588" s="443"/>
      <c r="G588" s="26"/>
      <c r="H588" s="26"/>
      <c r="I588" s="26"/>
      <c r="J588" s="26"/>
    </row>
    <row r="589" spans="2:10" ht="15.95" customHeight="1">
      <c r="B589" s="456"/>
      <c r="E589" s="457"/>
      <c r="F589" s="443"/>
      <c r="G589" s="26"/>
      <c r="H589" s="26"/>
      <c r="I589" s="26"/>
      <c r="J589" s="26"/>
    </row>
    <row r="590" spans="2:10" ht="15.95" customHeight="1">
      <c r="B590" s="456"/>
      <c r="E590" s="457"/>
      <c r="F590" s="443"/>
      <c r="G590" s="26"/>
      <c r="H590" s="26"/>
      <c r="I590" s="26"/>
      <c r="J590" s="26"/>
    </row>
    <row r="591" spans="2:10" ht="15.95" customHeight="1">
      <c r="B591" s="456"/>
      <c r="E591" s="457"/>
      <c r="F591" s="443"/>
      <c r="G591" s="26"/>
      <c r="H591" s="26"/>
      <c r="I591" s="26"/>
      <c r="J591" s="26"/>
    </row>
    <row r="592" spans="2:10" ht="15.95" customHeight="1">
      <c r="B592" s="456"/>
      <c r="E592" s="457"/>
      <c r="F592" s="443"/>
      <c r="G592" s="26"/>
      <c r="H592" s="26"/>
      <c r="I592" s="26"/>
      <c r="J592" s="26"/>
    </row>
    <row r="593" spans="2:10" ht="15.95" customHeight="1">
      <c r="B593" s="456"/>
      <c r="E593" s="457"/>
      <c r="F593" s="443"/>
      <c r="G593" s="26"/>
      <c r="H593" s="26"/>
      <c r="I593" s="26"/>
      <c r="J593" s="26"/>
    </row>
    <row r="594" spans="2:10" ht="15.95" customHeight="1">
      <c r="B594" s="456"/>
      <c r="E594" s="457"/>
      <c r="F594" s="443"/>
      <c r="G594" s="26"/>
      <c r="H594" s="26"/>
      <c r="I594" s="26"/>
      <c r="J594" s="26"/>
    </row>
    <row r="595" spans="2:10" ht="15.95" customHeight="1">
      <c r="B595" s="456"/>
      <c r="E595" s="457"/>
      <c r="F595" s="443"/>
      <c r="G595" s="26"/>
      <c r="H595" s="26"/>
      <c r="I595" s="26"/>
      <c r="J595" s="26"/>
    </row>
    <row r="596" spans="2:10" ht="15.95" customHeight="1">
      <c r="B596" s="456"/>
      <c r="E596" s="457"/>
      <c r="F596" s="443"/>
      <c r="G596" s="26"/>
      <c r="H596" s="26"/>
      <c r="I596" s="26"/>
      <c r="J596" s="26"/>
    </row>
    <row r="597" spans="2:10" ht="15.95" customHeight="1">
      <c r="B597" s="456"/>
      <c r="E597" s="457"/>
      <c r="F597" s="443"/>
      <c r="G597" s="26"/>
      <c r="H597" s="26"/>
      <c r="I597" s="26"/>
      <c r="J597" s="26"/>
    </row>
    <row r="598" spans="2:10" ht="15.95" customHeight="1">
      <c r="B598" s="456"/>
      <c r="E598" s="457"/>
      <c r="F598" s="443"/>
      <c r="G598" s="26"/>
      <c r="H598" s="26"/>
      <c r="I598" s="26"/>
      <c r="J598" s="26"/>
    </row>
    <row r="599" spans="2:10" ht="15.95" customHeight="1">
      <c r="B599" s="456"/>
      <c r="E599" s="457"/>
      <c r="F599" s="443"/>
      <c r="G599" s="26"/>
      <c r="H599" s="26"/>
      <c r="I599" s="26"/>
      <c r="J599" s="26"/>
    </row>
    <row r="600" spans="2:10" ht="15.95" customHeight="1">
      <c r="B600" s="456"/>
      <c r="E600" s="457"/>
      <c r="F600" s="443"/>
      <c r="G600" s="26"/>
      <c r="H600" s="26"/>
      <c r="I600" s="26"/>
      <c r="J600" s="26"/>
    </row>
    <row r="601" spans="2:10" ht="15.95" customHeight="1">
      <c r="B601" s="456"/>
      <c r="E601" s="457"/>
      <c r="F601" s="443"/>
      <c r="G601" s="26"/>
      <c r="H601" s="26"/>
      <c r="I601" s="26"/>
      <c r="J601" s="26"/>
    </row>
    <row r="602" spans="2:10" ht="15.95" customHeight="1">
      <c r="B602" s="456"/>
      <c r="E602" s="457"/>
      <c r="F602" s="443"/>
      <c r="G602" s="26"/>
      <c r="H602" s="26"/>
      <c r="I602" s="26"/>
      <c r="J602" s="26"/>
    </row>
    <row r="603" spans="2:10" ht="15.95" customHeight="1">
      <c r="B603" s="456"/>
      <c r="E603" s="457"/>
      <c r="F603" s="443"/>
      <c r="G603" s="26"/>
      <c r="H603" s="26"/>
      <c r="I603" s="26"/>
      <c r="J603" s="26"/>
    </row>
    <row r="604" spans="2:10" ht="15.95" customHeight="1">
      <c r="B604" s="456"/>
      <c r="E604" s="457"/>
      <c r="F604" s="443"/>
      <c r="G604" s="26"/>
      <c r="H604" s="26"/>
      <c r="I604" s="26"/>
      <c r="J604" s="26"/>
    </row>
    <row r="605" spans="2:10" ht="15.95" customHeight="1">
      <c r="B605" s="456"/>
      <c r="E605" s="457"/>
      <c r="F605" s="443"/>
      <c r="G605" s="26"/>
      <c r="H605" s="26"/>
      <c r="I605" s="26"/>
      <c r="J605" s="26"/>
    </row>
    <row r="606" spans="2:10" ht="15.95" customHeight="1">
      <c r="B606" s="456"/>
      <c r="E606" s="457"/>
      <c r="F606" s="443"/>
      <c r="G606" s="26"/>
      <c r="H606" s="26"/>
      <c r="I606" s="26"/>
      <c r="J606" s="26"/>
    </row>
    <row r="607" spans="2:10" ht="15.95" customHeight="1">
      <c r="B607" s="456"/>
      <c r="E607" s="457"/>
      <c r="F607" s="443"/>
      <c r="G607" s="26"/>
      <c r="H607" s="26"/>
      <c r="I607" s="26"/>
      <c r="J607" s="26"/>
    </row>
    <row r="608" spans="2:10" ht="15.95" customHeight="1">
      <c r="B608" s="456"/>
      <c r="E608" s="457"/>
      <c r="F608" s="443"/>
      <c r="G608" s="26"/>
      <c r="H608" s="26"/>
      <c r="I608" s="26"/>
      <c r="J608" s="26"/>
    </row>
    <row r="609" spans="2:10" ht="15.95" customHeight="1">
      <c r="B609" s="456"/>
      <c r="E609" s="457"/>
      <c r="F609" s="443"/>
      <c r="G609" s="26"/>
      <c r="H609" s="26"/>
      <c r="I609" s="26"/>
      <c r="J609" s="26"/>
    </row>
    <row r="610" spans="2:10" ht="15.95" customHeight="1">
      <c r="B610" s="456"/>
      <c r="E610" s="457"/>
      <c r="F610" s="443"/>
      <c r="G610" s="26"/>
      <c r="H610" s="26"/>
      <c r="I610" s="26"/>
      <c r="J610" s="26"/>
    </row>
    <row r="611" spans="2:10" ht="15.95" customHeight="1">
      <c r="B611" s="456"/>
      <c r="E611" s="457"/>
      <c r="F611" s="443"/>
      <c r="G611" s="26"/>
      <c r="H611" s="26"/>
      <c r="I611" s="26"/>
      <c r="J611" s="26"/>
    </row>
    <row r="612" spans="2:10" ht="15.95" customHeight="1">
      <c r="B612" s="456"/>
      <c r="E612" s="457"/>
      <c r="F612" s="443"/>
      <c r="G612" s="26"/>
      <c r="H612" s="26"/>
      <c r="I612" s="26"/>
      <c r="J612" s="26"/>
    </row>
    <row r="613" spans="2:10" ht="15.95" customHeight="1">
      <c r="B613" s="456"/>
      <c r="E613" s="457"/>
      <c r="F613" s="443"/>
      <c r="G613" s="26"/>
      <c r="H613" s="26"/>
      <c r="I613" s="26"/>
      <c r="J613" s="26"/>
    </row>
    <row r="614" spans="2:10" ht="15.95" customHeight="1">
      <c r="B614" s="456"/>
      <c r="E614" s="457"/>
      <c r="F614" s="443"/>
      <c r="G614" s="26"/>
      <c r="H614" s="26"/>
      <c r="I614" s="26"/>
      <c r="J614" s="26"/>
    </row>
    <row r="615" spans="2:10" ht="15.95" customHeight="1">
      <c r="B615" s="456"/>
      <c r="E615" s="457"/>
      <c r="F615" s="443"/>
      <c r="G615" s="26"/>
      <c r="H615" s="26"/>
      <c r="I615" s="26"/>
      <c r="J615" s="26"/>
    </row>
    <row r="616" spans="2:10" ht="15.95" customHeight="1">
      <c r="B616" s="456"/>
      <c r="E616" s="457"/>
      <c r="F616" s="443"/>
      <c r="G616" s="26"/>
      <c r="H616" s="26"/>
      <c r="I616" s="26"/>
      <c r="J616" s="26"/>
    </row>
    <row r="617" spans="2:10" ht="15.95" customHeight="1">
      <c r="B617" s="456"/>
      <c r="E617" s="457"/>
      <c r="F617" s="443"/>
      <c r="G617" s="26"/>
      <c r="H617" s="26"/>
      <c r="I617" s="26"/>
      <c r="J617" s="26"/>
    </row>
    <row r="618" spans="2:10" ht="15.95" customHeight="1">
      <c r="B618" s="456"/>
      <c r="E618" s="457"/>
      <c r="F618" s="443"/>
      <c r="G618" s="26"/>
      <c r="H618" s="26"/>
      <c r="I618" s="26"/>
      <c r="J618" s="26"/>
    </row>
    <row r="619" spans="2:10" ht="15.95" customHeight="1">
      <c r="B619" s="456"/>
      <c r="E619" s="457"/>
      <c r="F619" s="443"/>
      <c r="G619" s="26"/>
      <c r="H619" s="26"/>
      <c r="I619" s="26"/>
      <c r="J619" s="26"/>
    </row>
    <row r="620" spans="2:10" ht="15.95" customHeight="1">
      <c r="B620" s="456"/>
      <c r="E620" s="457"/>
      <c r="F620" s="443"/>
      <c r="G620" s="26"/>
      <c r="H620" s="26"/>
      <c r="I620" s="26"/>
      <c r="J620" s="26"/>
    </row>
    <row r="621" spans="2:10" ht="15.95" customHeight="1">
      <c r="B621" s="456"/>
      <c r="E621" s="457"/>
      <c r="F621" s="443"/>
      <c r="G621" s="26"/>
      <c r="H621" s="26"/>
      <c r="I621" s="26"/>
      <c r="J621" s="26"/>
    </row>
    <row r="622" spans="2:10" ht="15.95" customHeight="1">
      <c r="B622" s="456"/>
      <c r="E622" s="457"/>
      <c r="F622" s="443"/>
      <c r="G622" s="26"/>
      <c r="H622" s="26"/>
      <c r="I622" s="26"/>
      <c r="J622" s="26"/>
    </row>
    <row r="623" spans="2:10" ht="15.95" customHeight="1">
      <c r="B623" s="456"/>
      <c r="E623" s="457"/>
      <c r="F623" s="443"/>
      <c r="G623" s="26"/>
      <c r="H623" s="26"/>
      <c r="I623" s="26"/>
      <c r="J623" s="26"/>
    </row>
    <row r="624" spans="2:10" ht="15.95" customHeight="1">
      <c r="B624" s="456"/>
      <c r="E624" s="457"/>
      <c r="F624" s="443"/>
      <c r="G624" s="26"/>
      <c r="H624" s="26"/>
      <c r="I624" s="26"/>
      <c r="J624" s="26"/>
    </row>
    <row r="625" spans="2:10" ht="15.95" customHeight="1">
      <c r="B625" s="456"/>
      <c r="E625" s="457"/>
      <c r="F625" s="443"/>
      <c r="G625" s="26"/>
      <c r="H625" s="26"/>
      <c r="I625" s="26"/>
      <c r="J625" s="26"/>
    </row>
    <row r="626" spans="2:10" ht="15.95" customHeight="1">
      <c r="B626" s="456"/>
      <c r="E626" s="457"/>
      <c r="F626" s="443"/>
      <c r="G626" s="26"/>
      <c r="H626" s="26"/>
      <c r="I626" s="26"/>
      <c r="J626" s="26"/>
    </row>
    <row r="627" spans="2:10" ht="15.95" customHeight="1">
      <c r="B627" s="456"/>
      <c r="E627" s="457"/>
      <c r="F627" s="443"/>
      <c r="G627" s="26"/>
      <c r="H627" s="26"/>
      <c r="I627" s="26"/>
      <c r="J627" s="26"/>
    </row>
    <row r="628" spans="2:10" ht="15.95" customHeight="1">
      <c r="B628" s="456"/>
      <c r="E628" s="457"/>
      <c r="F628" s="443"/>
      <c r="G628" s="26"/>
      <c r="H628" s="26"/>
      <c r="I628" s="26"/>
      <c r="J628" s="26"/>
    </row>
    <row r="629" spans="2:10" ht="15.95" customHeight="1">
      <c r="B629" s="456"/>
      <c r="E629" s="457"/>
      <c r="F629" s="443"/>
      <c r="G629" s="26"/>
      <c r="H629" s="26"/>
      <c r="I629" s="26"/>
      <c r="J629" s="26"/>
    </row>
    <row r="630" spans="2:10" ht="15.95" customHeight="1">
      <c r="B630" s="456"/>
      <c r="E630" s="457"/>
      <c r="F630" s="443"/>
      <c r="G630" s="26"/>
      <c r="H630" s="26"/>
      <c r="I630" s="26"/>
      <c r="J630" s="26"/>
    </row>
    <row r="631" spans="2:10" ht="15.95" customHeight="1">
      <c r="B631" s="456"/>
      <c r="E631" s="457"/>
      <c r="F631" s="443"/>
      <c r="G631" s="26"/>
      <c r="H631" s="26"/>
      <c r="I631" s="26"/>
      <c r="J631" s="26"/>
    </row>
    <row r="632" spans="2:10" ht="15.95" customHeight="1">
      <c r="B632" s="456"/>
      <c r="E632" s="457"/>
      <c r="F632" s="443"/>
      <c r="G632" s="26"/>
      <c r="H632" s="26"/>
      <c r="I632" s="26"/>
      <c r="J632" s="26"/>
    </row>
    <row r="633" spans="2:10" ht="15.95" customHeight="1">
      <c r="B633" s="456"/>
      <c r="E633" s="457"/>
      <c r="F633" s="443"/>
      <c r="G633" s="26"/>
      <c r="H633" s="26"/>
      <c r="I633" s="26"/>
      <c r="J633" s="26"/>
    </row>
    <row r="634" spans="2:10" ht="15.95" customHeight="1">
      <c r="B634" s="456"/>
      <c r="E634" s="457"/>
      <c r="F634" s="443"/>
      <c r="G634" s="26"/>
      <c r="H634" s="26"/>
      <c r="I634" s="26"/>
      <c r="J634" s="26"/>
    </row>
    <row r="635" spans="2:10" ht="15.95" customHeight="1">
      <c r="B635" s="456"/>
      <c r="E635" s="457"/>
      <c r="F635" s="443"/>
      <c r="G635" s="26"/>
      <c r="H635" s="26"/>
      <c r="I635" s="26"/>
      <c r="J635" s="26"/>
    </row>
    <row r="636" spans="2:10" ht="15.95" customHeight="1">
      <c r="B636" s="456"/>
      <c r="E636" s="457"/>
      <c r="F636" s="443"/>
      <c r="G636" s="26"/>
      <c r="H636" s="26"/>
      <c r="I636" s="26"/>
      <c r="J636" s="26"/>
    </row>
    <row r="637" spans="2:10" ht="15.95" customHeight="1">
      <c r="B637" s="456"/>
      <c r="E637" s="457"/>
      <c r="F637" s="443"/>
      <c r="G637" s="26"/>
      <c r="H637" s="26"/>
      <c r="I637" s="26"/>
      <c r="J637" s="26"/>
    </row>
    <row r="638" spans="2:10" ht="15.95" customHeight="1">
      <c r="B638" s="456"/>
      <c r="E638" s="457"/>
      <c r="F638" s="443"/>
      <c r="G638" s="26"/>
      <c r="H638" s="26"/>
      <c r="I638" s="26"/>
      <c r="J638" s="26"/>
    </row>
    <row r="639" spans="2:10" ht="15.95" customHeight="1">
      <c r="B639" s="456"/>
      <c r="E639" s="457"/>
      <c r="F639" s="443"/>
      <c r="G639" s="26"/>
      <c r="H639" s="26"/>
      <c r="I639" s="26"/>
      <c r="J639" s="26"/>
    </row>
    <row r="640" spans="2:10" ht="15.95" customHeight="1">
      <c r="B640" s="456"/>
      <c r="E640" s="457"/>
      <c r="F640" s="443"/>
      <c r="G640" s="26"/>
      <c r="H640" s="26"/>
      <c r="I640" s="26"/>
      <c r="J640" s="26"/>
    </row>
    <row r="641" spans="2:10" ht="15.95" customHeight="1">
      <c r="B641" s="456"/>
      <c r="E641" s="457"/>
      <c r="F641" s="443"/>
      <c r="G641" s="26"/>
      <c r="H641" s="26"/>
      <c r="I641" s="26"/>
      <c r="J641" s="26"/>
    </row>
    <row r="642" spans="2:10" ht="15.95" customHeight="1">
      <c r="B642" s="456"/>
      <c r="E642" s="457"/>
      <c r="F642" s="443"/>
      <c r="G642" s="26"/>
      <c r="H642" s="26"/>
      <c r="I642" s="26"/>
      <c r="J642" s="26"/>
    </row>
    <row r="643" spans="2:10" ht="15.95" customHeight="1">
      <c r="B643" s="456"/>
      <c r="E643" s="457"/>
      <c r="F643" s="443"/>
      <c r="G643" s="26"/>
      <c r="H643" s="26"/>
      <c r="I643" s="26"/>
      <c r="J643" s="26"/>
    </row>
    <row r="644" spans="2:10" ht="15.95" customHeight="1">
      <c r="B644" s="456"/>
      <c r="E644" s="457"/>
      <c r="F644" s="443"/>
      <c r="G644" s="26"/>
      <c r="H644" s="26"/>
      <c r="I644" s="26"/>
      <c r="J644" s="26"/>
    </row>
    <row r="645" spans="2:10" ht="15.95" customHeight="1">
      <c r="B645" s="456"/>
      <c r="E645" s="457"/>
      <c r="F645" s="443"/>
      <c r="G645" s="26"/>
      <c r="H645" s="26"/>
      <c r="I645" s="26"/>
      <c r="J645" s="26"/>
    </row>
    <row r="646" spans="2:10" ht="15.95" customHeight="1">
      <c r="B646" s="456"/>
      <c r="E646" s="457"/>
      <c r="F646" s="443"/>
      <c r="G646" s="26"/>
      <c r="H646" s="26"/>
      <c r="I646" s="26"/>
      <c r="J646" s="26"/>
    </row>
    <row r="647" spans="2:10" ht="15.95" customHeight="1">
      <c r="B647" s="456"/>
      <c r="E647" s="457"/>
      <c r="F647" s="443"/>
      <c r="G647" s="26"/>
      <c r="H647" s="26"/>
      <c r="I647" s="26"/>
      <c r="J647" s="26"/>
    </row>
    <row r="648" spans="2:10" ht="15.95" customHeight="1">
      <c r="B648" s="456"/>
      <c r="E648" s="457"/>
      <c r="F648" s="443"/>
      <c r="G648" s="26"/>
      <c r="H648" s="26"/>
      <c r="I648" s="26"/>
      <c r="J648" s="26"/>
    </row>
    <row r="649" spans="2:10" ht="15.95" customHeight="1">
      <c r="B649" s="456"/>
      <c r="E649" s="457"/>
      <c r="F649" s="443"/>
      <c r="G649" s="26"/>
      <c r="H649" s="26"/>
      <c r="I649" s="26"/>
      <c r="J649" s="26"/>
    </row>
    <row r="650" spans="2:10" ht="15.95" customHeight="1">
      <c r="B650" s="456"/>
      <c r="E650" s="457"/>
      <c r="F650" s="443"/>
      <c r="G650" s="26"/>
      <c r="H650" s="26"/>
      <c r="I650" s="26"/>
      <c r="J650" s="26"/>
    </row>
    <row r="651" spans="2:10" ht="15.95" customHeight="1">
      <c r="B651" s="456"/>
      <c r="E651" s="457"/>
      <c r="F651" s="443"/>
      <c r="G651" s="26"/>
      <c r="H651" s="26"/>
      <c r="I651" s="26"/>
      <c r="J651" s="26"/>
    </row>
    <row r="652" spans="2:10" ht="15.95" customHeight="1">
      <c r="B652" s="456"/>
      <c r="E652" s="457"/>
      <c r="F652" s="443"/>
      <c r="G652" s="26"/>
      <c r="H652" s="26"/>
      <c r="I652" s="26"/>
      <c r="J652" s="26"/>
    </row>
    <row r="653" spans="2:10" ht="15.95" customHeight="1">
      <c r="B653" s="456"/>
      <c r="E653" s="457"/>
      <c r="F653" s="443"/>
      <c r="G653" s="26"/>
      <c r="H653" s="26"/>
      <c r="I653" s="26"/>
      <c r="J653" s="26"/>
    </row>
    <row r="654" spans="2:10" ht="15.95" customHeight="1">
      <c r="B654" s="456"/>
      <c r="E654" s="457"/>
      <c r="F654" s="443"/>
      <c r="G654" s="26"/>
      <c r="H654" s="26"/>
      <c r="I654" s="26"/>
      <c r="J654" s="26"/>
    </row>
    <row r="655" spans="2:10" ht="15.95" customHeight="1">
      <c r="B655" s="456"/>
      <c r="E655" s="457"/>
      <c r="F655" s="443"/>
      <c r="G655" s="26"/>
      <c r="H655" s="26"/>
      <c r="I655" s="26"/>
      <c r="J655" s="26"/>
    </row>
    <row r="656" spans="2:10" ht="15.95" customHeight="1">
      <c r="B656" s="456"/>
      <c r="E656" s="457"/>
      <c r="F656" s="443"/>
      <c r="G656" s="26"/>
      <c r="H656" s="26"/>
      <c r="I656" s="26"/>
      <c r="J656" s="26"/>
    </row>
    <row r="657" spans="2:10" ht="15.95" customHeight="1">
      <c r="B657" s="456"/>
      <c r="E657" s="457"/>
      <c r="F657" s="443"/>
      <c r="G657" s="26"/>
      <c r="H657" s="26"/>
      <c r="I657" s="26"/>
      <c r="J657" s="26"/>
    </row>
    <row r="658" spans="2:10" ht="15.95" customHeight="1">
      <c r="B658" s="456"/>
      <c r="E658" s="457"/>
      <c r="F658" s="443"/>
      <c r="G658" s="26"/>
      <c r="H658" s="26"/>
      <c r="I658" s="26"/>
      <c r="J658" s="26"/>
    </row>
    <row r="659" spans="2:10" ht="15.95" customHeight="1">
      <c r="B659" s="456"/>
      <c r="E659" s="457"/>
      <c r="F659" s="443"/>
      <c r="G659" s="26"/>
      <c r="H659" s="26"/>
      <c r="I659" s="26"/>
      <c r="J659" s="26"/>
    </row>
    <row r="660" spans="2:10" ht="15.95" customHeight="1">
      <c r="B660" s="456"/>
      <c r="E660" s="457"/>
      <c r="F660" s="443"/>
      <c r="G660" s="26"/>
      <c r="H660" s="26"/>
      <c r="I660" s="26"/>
      <c r="J660" s="26"/>
    </row>
    <row r="661" spans="2:10" ht="15.95" customHeight="1">
      <c r="B661" s="456"/>
      <c r="E661" s="457"/>
      <c r="F661" s="443"/>
      <c r="G661" s="26"/>
      <c r="H661" s="26"/>
      <c r="I661" s="26"/>
      <c r="J661" s="26"/>
    </row>
    <row r="662" spans="2:10" ht="15.95" customHeight="1">
      <c r="B662" s="456"/>
      <c r="E662" s="457"/>
      <c r="F662" s="443"/>
      <c r="G662" s="26"/>
      <c r="H662" s="26"/>
      <c r="I662" s="26"/>
      <c r="J662" s="26"/>
    </row>
    <row r="663" spans="2:10" ht="15.95" customHeight="1">
      <c r="B663" s="456"/>
      <c r="E663" s="457"/>
      <c r="F663" s="443"/>
      <c r="G663" s="26"/>
      <c r="H663" s="26"/>
      <c r="I663" s="26"/>
      <c r="J663" s="26"/>
    </row>
    <row r="664" spans="2:10" ht="15.95" customHeight="1">
      <c r="B664" s="456"/>
      <c r="E664" s="457"/>
      <c r="F664" s="443"/>
      <c r="G664" s="26"/>
      <c r="H664" s="26"/>
      <c r="I664" s="26"/>
      <c r="J664" s="26"/>
    </row>
    <row r="665" spans="2:10" ht="15.95" customHeight="1">
      <c r="B665" s="456"/>
      <c r="E665" s="457"/>
      <c r="F665" s="443"/>
      <c r="G665" s="26"/>
      <c r="H665" s="26"/>
      <c r="I665" s="26"/>
      <c r="J665" s="26"/>
    </row>
    <row r="666" spans="2:10" ht="15.95" customHeight="1">
      <c r="B666" s="456"/>
      <c r="E666" s="457"/>
      <c r="F666" s="443"/>
      <c r="G666" s="26"/>
      <c r="H666" s="26"/>
      <c r="I666" s="26"/>
      <c r="J666" s="26"/>
    </row>
    <row r="667" spans="2:10" ht="15.95" customHeight="1">
      <c r="B667" s="456"/>
      <c r="E667" s="457"/>
      <c r="F667" s="443"/>
      <c r="G667" s="26"/>
      <c r="H667" s="26"/>
      <c r="I667" s="26"/>
      <c r="J667" s="26"/>
    </row>
    <row r="668" spans="2:10" ht="15.95" customHeight="1">
      <c r="B668" s="456"/>
      <c r="E668" s="457"/>
      <c r="F668" s="443"/>
      <c r="G668" s="26"/>
      <c r="H668" s="26"/>
      <c r="I668" s="26"/>
      <c r="J668" s="26"/>
    </row>
    <row r="669" spans="2:10" ht="15.95" customHeight="1">
      <c r="B669" s="456"/>
      <c r="E669" s="457"/>
      <c r="F669" s="443"/>
      <c r="G669" s="26"/>
      <c r="H669" s="26"/>
      <c r="I669" s="26"/>
      <c r="J669" s="26"/>
    </row>
    <row r="670" spans="2:10" ht="15.95" customHeight="1">
      <c r="B670" s="456"/>
      <c r="E670" s="457"/>
      <c r="F670" s="443"/>
      <c r="G670" s="26"/>
      <c r="H670" s="26"/>
      <c r="I670" s="26"/>
      <c r="J670" s="26"/>
    </row>
    <row r="671" spans="2:10" ht="15.95" customHeight="1">
      <c r="B671" s="456"/>
      <c r="E671" s="457"/>
      <c r="F671" s="443"/>
      <c r="G671" s="26"/>
      <c r="H671" s="26"/>
      <c r="I671" s="26"/>
      <c r="J671" s="26"/>
    </row>
    <row r="672" spans="2:10" ht="15.95" customHeight="1">
      <c r="B672" s="456"/>
      <c r="E672" s="457"/>
      <c r="F672" s="443"/>
      <c r="G672" s="26"/>
      <c r="H672" s="26"/>
      <c r="I672" s="26"/>
      <c r="J672" s="26"/>
    </row>
    <row r="673" spans="2:10" ht="15.95" customHeight="1">
      <c r="B673" s="456"/>
      <c r="E673" s="457"/>
      <c r="F673" s="443"/>
      <c r="G673" s="26"/>
      <c r="H673" s="26"/>
      <c r="I673" s="26"/>
      <c r="J673" s="26"/>
    </row>
    <row r="674" spans="2:10" ht="15.95" customHeight="1">
      <c r="B674" s="456"/>
      <c r="E674" s="457"/>
      <c r="F674" s="443"/>
      <c r="G674" s="26"/>
      <c r="H674" s="26"/>
      <c r="I674" s="26"/>
      <c r="J674" s="26"/>
    </row>
    <row r="675" spans="2:10" ht="15.95" customHeight="1">
      <c r="B675" s="456"/>
      <c r="E675" s="457"/>
      <c r="F675" s="443"/>
      <c r="G675" s="26"/>
      <c r="H675" s="26"/>
      <c r="I675" s="26"/>
      <c r="J675" s="26"/>
    </row>
    <row r="676" spans="2:10" ht="15.95" customHeight="1">
      <c r="B676" s="456"/>
      <c r="E676" s="457"/>
      <c r="F676" s="443"/>
      <c r="G676" s="26"/>
      <c r="H676" s="26"/>
      <c r="I676" s="26"/>
      <c r="J676" s="26"/>
    </row>
    <row r="677" spans="2:10" ht="15.95" customHeight="1">
      <c r="B677" s="456"/>
      <c r="E677" s="457"/>
      <c r="F677" s="443"/>
      <c r="G677" s="26"/>
      <c r="H677" s="26"/>
      <c r="I677" s="26"/>
      <c r="J677" s="26"/>
    </row>
    <row r="678" spans="2:10" ht="15.95" customHeight="1">
      <c r="B678" s="456"/>
      <c r="E678" s="457"/>
      <c r="F678" s="443"/>
      <c r="G678" s="26"/>
      <c r="H678" s="26"/>
      <c r="I678" s="26"/>
      <c r="J678" s="26"/>
    </row>
    <row r="679" spans="2:10" ht="15.95" customHeight="1">
      <c r="B679" s="456"/>
      <c r="E679" s="457"/>
      <c r="F679" s="443"/>
      <c r="G679" s="26"/>
      <c r="H679" s="26"/>
      <c r="I679" s="26"/>
      <c r="J679" s="26"/>
    </row>
    <row r="680" spans="2:10" ht="15.95" customHeight="1">
      <c r="B680" s="456"/>
      <c r="E680" s="457"/>
      <c r="F680" s="443"/>
      <c r="G680" s="26"/>
      <c r="H680" s="26"/>
      <c r="I680" s="26"/>
      <c r="J680" s="26"/>
    </row>
    <row r="681" spans="2:10" ht="15.95" customHeight="1">
      <c r="B681" s="456"/>
      <c r="E681" s="457"/>
      <c r="F681" s="443"/>
      <c r="G681" s="26"/>
      <c r="H681" s="26"/>
      <c r="I681" s="26"/>
      <c r="J681" s="26"/>
    </row>
    <row r="682" spans="2:10" ht="15.95" customHeight="1">
      <c r="B682" s="456"/>
      <c r="E682" s="457"/>
      <c r="F682" s="443"/>
      <c r="G682" s="26"/>
      <c r="H682" s="26"/>
      <c r="I682" s="26"/>
      <c r="J682" s="26"/>
    </row>
    <row r="683" spans="2:10" ht="15.95" customHeight="1">
      <c r="B683" s="456"/>
      <c r="E683" s="457"/>
      <c r="F683" s="443"/>
      <c r="G683" s="26"/>
      <c r="H683" s="26"/>
      <c r="I683" s="26"/>
      <c r="J683" s="26"/>
    </row>
    <row r="684" spans="2:10" ht="15.95" customHeight="1">
      <c r="B684" s="456"/>
      <c r="E684" s="457"/>
      <c r="F684" s="443"/>
      <c r="G684" s="26"/>
      <c r="H684" s="26"/>
      <c r="I684" s="26"/>
      <c r="J684" s="26"/>
    </row>
    <row r="685" spans="2:10" ht="15.95" customHeight="1">
      <c r="B685" s="456"/>
      <c r="E685" s="457"/>
      <c r="F685" s="443"/>
      <c r="G685" s="26"/>
      <c r="H685" s="26"/>
      <c r="I685" s="26"/>
      <c r="J685" s="26"/>
    </row>
    <row r="686" spans="2:10" ht="15.95" customHeight="1">
      <c r="B686" s="456"/>
      <c r="E686" s="457"/>
      <c r="F686" s="443"/>
      <c r="G686" s="26"/>
      <c r="H686" s="26"/>
      <c r="I686" s="26"/>
      <c r="J686" s="26"/>
    </row>
    <row r="687" spans="2:10" ht="15.95" customHeight="1">
      <c r="B687" s="456"/>
      <c r="E687" s="457"/>
      <c r="F687" s="443"/>
      <c r="G687" s="26"/>
      <c r="H687" s="26"/>
      <c r="I687" s="26"/>
      <c r="J687" s="26"/>
    </row>
    <row r="688" spans="2:10" ht="15.95" customHeight="1">
      <c r="B688" s="456"/>
      <c r="E688" s="457"/>
      <c r="F688" s="443"/>
      <c r="G688" s="26"/>
      <c r="H688" s="26"/>
      <c r="I688" s="26"/>
      <c r="J688" s="26"/>
    </row>
    <row r="689" spans="2:10" ht="15.95" customHeight="1">
      <c r="B689" s="456"/>
      <c r="E689" s="457"/>
      <c r="F689" s="443"/>
      <c r="G689" s="26"/>
      <c r="H689" s="26"/>
      <c r="I689" s="26"/>
      <c r="J689" s="26"/>
    </row>
    <row r="690" spans="2:10" ht="15.95" customHeight="1">
      <c r="B690" s="456"/>
      <c r="E690" s="457"/>
      <c r="F690" s="443"/>
      <c r="G690" s="26"/>
      <c r="H690" s="26"/>
      <c r="I690" s="26"/>
      <c r="J690" s="26"/>
    </row>
    <row r="691" spans="2:10" ht="15.95" customHeight="1">
      <c r="B691" s="456"/>
      <c r="E691" s="457"/>
      <c r="F691" s="443"/>
      <c r="G691" s="26"/>
      <c r="H691" s="26"/>
      <c r="I691" s="26"/>
      <c r="J691" s="26"/>
    </row>
    <row r="692" spans="2:10" ht="15.95" customHeight="1">
      <c r="B692" s="456"/>
      <c r="E692" s="457"/>
      <c r="F692" s="443"/>
      <c r="G692" s="26"/>
      <c r="H692" s="26"/>
      <c r="I692" s="26"/>
      <c r="J692" s="26"/>
    </row>
    <row r="693" spans="2:10" ht="15.95" customHeight="1">
      <c r="B693" s="456"/>
      <c r="E693" s="457"/>
      <c r="F693" s="443"/>
      <c r="G693" s="26"/>
      <c r="H693" s="26"/>
      <c r="I693" s="26"/>
      <c r="J693" s="26"/>
    </row>
    <row r="694" spans="2:10" ht="15.95" customHeight="1">
      <c r="B694" s="456"/>
      <c r="E694" s="457"/>
      <c r="F694" s="443"/>
      <c r="G694" s="26"/>
      <c r="H694" s="26"/>
      <c r="I694" s="26"/>
      <c r="J694" s="26"/>
    </row>
    <row r="695" spans="2:10" ht="15.95" customHeight="1">
      <c r="B695" s="456"/>
      <c r="E695" s="457"/>
      <c r="F695" s="443"/>
      <c r="G695" s="26"/>
      <c r="H695" s="26"/>
      <c r="I695" s="26"/>
      <c r="J695" s="26"/>
    </row>
    <row r="696" spans="2:10" ht="15.95" customHeight="1">
      <c r="B696" s="456"/>
      <c r="E696" s="457"/>
      <c r="F696" s="443"/>
      <c r="G696" s="26"/>
      <c r="H696" s="26"/>
      <c r="I696" s="26"/>
      <c r="J696" s="26"/>
    </row>
    <row r="697" spans="2:10" ht="15.95" customHeight="1">
      <c r="B697" s="456"/>
      <c r="E697" s="457"/>
      <c r="F697" s="443"/>
      <c r="G697" s="26"/>
      <c r="H697" s="26"/>
      <c r="I697" s="26"/>
      <c r="J697" s="26"/>
    </row>
    <row r="698" spans="2:10" ht="15.95" customHeight="1">
      <c r="B698" s="456"/>
      <c r="E698" s="457"/>
      <c r="F698" s="443"/>
      <c r="G698" s="26"/>
      <c r="H698" s="26"/>
      <c r="I698" s="26"/>
      <c r="J698" s="26"/>
    </row>
    <row r="699" spans="2:10" ht="15.95" customHeight="1">
      <c r="B699" s="456"/>
      <c r="E699" s="457"/>
      <c r="F699" s="443"/>
      <c r="G699" s="26"/>
      <c r="H699" s="26"/>
      <c r="I699" s="26"/>
      <c r="J699" s="26"/>
    </row>
    <row r="700" spans="2:10" ht="15.95" customHeight="1">
      <c r="B700" s="456"/>
      <c r="E700" s="457"/>
      <c r="F700" s="443"/>
      <c r="G700" s="26"/>
      <c r="H700" s="26"/>
      <c r="I700" s="26"/>
      <c r="J700" s="26"/>
    </row>
    <row r="701" spans="2:10" ht="15.95" customHeight="1">
      <c r="B701" s="456"/>
      <c r="E701" s="457"/>
      <c r="F701" s="443"/>
      <c r="G701" s="26"/>
      <c r="H701" s="26"/>
      <c r="I701" s="26"/>
      <c r="J701" s="26"/>
    </row>
    <row r="702" spans="2:10" ht="15.95" customHeight="1">
      <c r="B702" s="456"/>
      <c r="E702" s="457"/>
      <c r="F702" s="443"/>
      <c r="G702" s="26"/>
      <c r="H702" s="26"/>
      <c r="I702" s="26"/>
      <c r="J702" s="26"/>
    </row>
    <row r="703" spans="2:10" ht="15.95" customHeight="1">
      <c r="B703" s="456"/>
      <c r="E703" s="457"/>
      <c r="F703" s="443"/>
      <c r="G703" s="26"/>
      <c r="H703" s="26"/>
      <c r="I703" s="26"/>
      <c r="J703" s="26"/>
    </row>
    <row r="704" spans="2:10" ht="15.95" customHeight="1">
      <c r="B704" s="456"/>
      <c r="E704" s="457"/>
      <c r="F704" s="443"/>
      <c r="G704" s="26"/>
      <c r="H704" s="26"/>
      <c r="I704" s="26"/>
      <c r="J704" s="26"/>
    </row>
    <row r="705" spans="2:10" ht="15.95" customHeight="1">
      <c r="B705" s="456"/>
      <c r="E705" s="457"/>
      <c r="F705" s="443"/>
      <c r="G705" s="26"/>
      <c r="H705" s="26"/>
      <c r="I705" s="26"/>
      <c r="J705" s="26"/>
    </row>
    <row r="706" spans="2:10" ht="15.95" customHeight="1">
      <c r="B706" s="456"/>
      <c r="E706" s="457"/>
      <c r="F706" s="443"/>
      <c r="G706" s="26"/>
      <c r="H706" s="26"/>
      <c r="I706" s="26"/>
      <c r="J706" s="26"/>
    </row>
    <row r="707" spans="2:10" ht="15.95" customHeight="1">
      <c r="B707" s="456"/>
      <c r="E707" s="457"/>
      <c r="F707" s="443"/>
      <c r="G707" s="26"/>
      <c r="H707" s="26"/>
      <c r="I707" s="26"/>
      <c r="J707" s="26"/>
    </row>
    <row r="708" spans="2:10" ht="15.95" customHeight="1">
      <c r="B708" s="456"/>
      <c r="E708" s="457"/>
      <c r="F708" s="443"/>
      <c r="G708" s="26"/>
      <c r="H708" s="26"/>
      <c r="I708" s="26"/>
      <c r="J708" s="26"/>
    </row>
    <row r="709" spans="2:10" ht="15.95" customHeight="1">
      <c r="B709" s="456"/>
      <c r="E709" s="457"/>
      <c r="F709" s="443"/>
      <c r="G709" s="26"/>
      <c r="H709" s="26"/>
      <c r="I709" s="26"/>
      <c r="J709" s="26"/>
    </row>
    <row r="710" spans="2:10" ht="15.95" customHeight="1">
      <c r="B710" s="456"/>
      <c r="E710" s="457"/>
      <c r="F710" s="443"/>
      <c r="G710" s="26"/>
      <c r="H710" s="26"/>
      <c r="I710" s="26"/>
      <c r="J710" s="26"/>
    </row>
    <row r="711" spans="2:10" ht="15.95" customHeight="1">
      <c r="B711" s="456"/>
      <c r="E711" s="457"/>
      <c r="F711" s="443"/>
      <c r="G711" s="26"/>
      <c r="H711" s="26"/>
      <c r="I711" s="26"/>
      <c r="J711" s="26"/>
    </row>
    <row r="712" spans="2:10" ht="15.95" customHeight="1">
      <c r="B712" s="456"/>
      <c r="E712" s="457"/>
      <c r="F712" s="443"/>
      <c r="G712" s="26"/>
      <c r="H712" s="26"/>
      <c r="I712" s="26"/>
      <c r="J712" s="26"/>
    </row>
    <row r="713" spans="2:10" ht="15.95" customHeight="1">
      <c r="B713" s="456"/>
      <c r="E713" s="457"/>
      <c r="F713" s="443"/>
      <c r="G713" s="26"/>
      <c r="H713" s="26"/>
      <c r="I713" s="26"/>
      <c r="J713" s="26"/>
    </row>
    <row r="714" spans="2:10" ht="15.95" customHeight="1">
      <c r="B714" s="456"/>
      <c r="E714" s="457"/>
      <c r="F714" s="443"/>
      <c r="G714" s="26"/>
      <c r="H714" s="26"/>
      <c r="I714" s="26"/>
      <c r="J714" s="26"/>
    </row>
    <row r="715" spans="2:10" ht="15.95" customHeight="1">
      <c r="B715" s="456"/>
      <c r="E715" s="457"/>
      <c r="F715" s="443"/>
      <c r="G715" s="26"/>
      <c r="H715" s="26"/>
      <c r="I715" s="26"/>
      <c r="J715" s="26"/>
    </row>
    <row r="716" spans="2:10" ht="15.95" customHeight="1">
      <c r="B716" s="456"/>
      <c r="E716" s="457"/>
      <c r="F716" s="443"/>
      <c r="G716" s="26"/>
      <c r="H716" s="26"/>
      <c r="I716" s="26"/>
      <c r="J716" s="26"/>
    </row>
    <row r="717" spans="2:10" ht="15.95" customHeight="1">
      <c r="B717" s="456"/>
      <c r="E717" s="457"/>
      <c r="F717" s="443"/>
      <c r="G717" s="26"/>
      <c r="H717" s="26"/>
      <c r="I717" s="26"/>
      <c r="J717" s="26"/>
    </row>
    <row r="718" spans="2:10" ht="15.95" customHeight="1">
      <c r="B718" s="456"/>
      <c r="E718" s="457"/>
      <c r="F718" s="443"/>
      <c r="G718" s="26"/>
      <c r="H718" s="26"/>
      <c r="I718" s="26"/>
      <c r="J718" s="26"/>
    </row>
    <row r="719" spans="2:10" ht="15.95" customHeight="1">
      <c r="B719" s="456"/>
      <c r="E719" s="457"/>
      <c r="F719" s="443"/>
      <c r="G719" s="26"/>
      <c r="H719" s="26"/>
      <c r="I719" s="26"/>
      <c r="J719" s="26"/>
    </row>
    <row r="720" spans="2:10" ht="15.95" customHeight="1">
      <c r="B720" s="456"/>
      <c r="E720" s="457"/>
      <c r="F720" s="443"/>
      <c r="G720" s="26"/>
      <c r="H720" s="26"/>
      <c r="I720" s="26"/>
      <c r="J720" s="26"/>
    </row>
    <row r="721" spans="2:10" ht="15.95" customHeight="1">
      <c r="B721" s="456"/>
      <c r="E721" s="457"/>
      <c r="F721" s="443"/>
      <c r="G721" s="26"/>
      <c r="H721" s="26"/>
      <c r="I721" s="26"/>
      <c r="J721" s="26"/>
    </row>
    <row r="722" spans="2:10" ht="15.95" customHeight="1">
      <c r="B722" s="456"/>
      <c r="E722" s="457"/>
      <c r="F722" s="443"/>
      <c r="G722" s="26"/>
      <c r="H722" s="26"/>
      <c r="I722" s="26"/>
      <c r="J722" s="26"/>
    </row>
    <row r="723" spans="2:10" ht="15.95" customHeight="1">
      <c r="B723" s="456"/>
      <c r="E723" s="457"/>
      <c r="F723" s="443"/>
      <c r="G723" s="26"/>
      <c r="H723" s="26"/>
      <c r="I723" s="26"/>
      <c r="J723" s="26"/>
    </row>
    <row r="724" spans="2:10" ht="15.95" customHeight="1">
      <c r="B724" s="456"/>
      <c r="E724" s="457"/>
      <c r="F724" s="443"/>
      <c r="G724" s="26"/>
      <c r="H724" s="26"/>
      <c r="I724" s="26"/>
      <c r="J724" s="26"/>
    </row>
    <row r="725" spans="2:10" ht="15.95" customHeight="1">
      <c r="B725" s="456"/>
      <c r="E725" s="457"/>
      <c r="F725" s="443"/>
      <c r="G725" s="26"/>
      <c r="H725" s="26"/>
      <c r="I725" s="26"/>
      <c r="J725" s="26"/>
    </row>
    <row r="726" spans="2:10" ht="15.95" customHeight="1">
      <c r="B726" s="456"/>
      <c r="E726" s="457"/>
      <c r="F726" s="443"/>
      <c r="G726" s="26"/>
      <c r="H726" s="26"/>
      <c r="I726" s="26"/>
      <c r="J726" s="26"/>
    </row>
    <row r="727" spans="2:10" ht="15.95" customHeight="1">
      <c r="B727" s="456"/>
      <c r="E727" s="457"/>
      <c r="F727" s="443"/>
      <c r="G727" s="26"/>
      <c r="H727" s="26"/>
      <c r="I727" s="26"/>
      <c r="J727" s="26"/>
    </row>
    <row r="728" spans="2:10" ht="15.95" customHeight="1">
      <c r="B728" s="456"/>
      <c r="E728" s="457"/>
      <c r="F728" s="443"/>
      <c r="G728" s="26"/>
      <c r="H728" s="26"/>
      <c r="I728" s="26"/>
      <c r="J728" s="26"/>
    </row>
    <row r="729" spans="2:10" ht="15.95" customHeight="1">
      <c r="B729" s="456"/>
      <c r="E729" s="457"/>
      <c r="F729" s="443"/>
      <c r="G729" s="26"/>
      <c r="H729" s="26"/>
      <c r="I729" s="26"/>
      <c r="J729" s="26"/>
    </row>
    <row r="730" spans="2:10" ht="15.95" customHeight="1">
      <c r="B730" s="456"/>
      <c r="E730" s="457"/>
      <c r="F730" s="443"/>
      <c r="G730" s="26"/>
      <c r="H730" s="26"/>
      <c r="I730" s="26"/>
      <c r="J730" s="26"/>
    </row>
    <row r="731" spans="2:10" ht="15.95" customHeight="1">
      <c r="B731" s="456"/>
      <c r="E731" s="457"/>
      <c r="F731" s="443"/>
      <c r="G731" s="26"/>
      <c r="H731" s="26"/>
      <c r="I731" s="26"/>
      <c r="J731" s="26"/>
    </row>
    <row r="732" spans="2:10" ht="15.95" customHeight="1">
      <c r="B732" s="456"/>
      <c r="E732" s="457"/>
      <c r="F732" s="443"/>
      <c r="G732" s="26"/>
      <c r="H732" s="26"/>
      <c r="I732" s="26"/>
      <c r="J732" s="26"/>
    </row>
    <row r="733" spans="2:10" ht="15.95" customHeight="1">
      <c r="B733" s="456"/>
      <c r="E733" s="457"/>
      <c r="F733" s="443"/>
      <c r="G733" s="26"/>
      <c r="H733" s="26"/>
      <c r="I733" s="26"/>
      <c r="J733" s="26"/>
    </row>
    <row r="734" spans="2:10" ht="15.95" customHeight="1">
      <c r="B734" s="456"/>
      <c r="E734" s="457"/>
      <c r="F734" s="443"/>
      <c r="G734" s="26"/>
      <c r="H734" s="26"/>
      <c r="I734" s="26"/>
      <c r="J734" s="26"/>
    </row>
    <row r="735" spans="2:10" ht="15.95" customHeight="1">
      <c r="B735" s="456"/>
      <c r="E735" s="457"/>
      <c r="F735" s="443"/>
      <c r="G735" s="26"/>
      <c r="H735" s="26"/>
      <c r="I735" s="26"/>
      <c r="J735" s="26"/>
    </row>
    <row r="736" spans="2:10" ht="15.95" customHeight="1">
      <c r="B736" s="456"/>
      <c r="E736" s="457"/>
      <c r="F736" s="443"/>
      <c r="G736" s="26"/>
      <c r="H736" s="26"/>
      <c r="I736" s="26"/>
      <c r="J736" s="26"/>
    </row>
    <row r="737" spans="2:10" ht="15.95" customHeight="1">
      <c r="B737" s="456"/>
      <c r="E737" s="457"/>
      <c r="F737" s="443"/>
      <c r="G737" s="26"/>
      <c r="H737" s="26"/>
      <c r="I737" s="26"/>
      <c r="J737" s="26"/>
    </row>
    <row r="738" spans="2:10" ht="15.95" customHeight="1">
      <c r="B738" s="456"/>
      <c r="E738" s="457"/>
      <c r="F738" s="443"/>
      <c r="G738" s="26"/>
      <c r="H738" s="26"/>
      <c r="I738" s="26"/>
      <c r="J738" s="26"/>
    </row>
    <row r="739" spans="2:10" ht="15.95" customHeight="1">
      <c r="B739" s="456"/>
      <c r="E739" s="457"/>
      <c r="F739" s="443"/>
      <c r="G739" s="26"/>
      <c r="H739" s="26"/>
      <c r="I739" s="26"/>
      <c r="J739" s="26"/>
    </row>
    <row r="740" spans="2:10" ht="15.95" customHeight="1">
      <c r="B740" s="456"/>
      <c r="E740" s="457"/>
      <c r="F740" s="443"/>
      <c r="G740" s="26"/>
      <c r="H740" s="26"/>
      <c r="I740" s="26"/>
      <c r="J740" s="26"/>
    </row>
    <row r="741" spans="2:10" ht="15.95" customHeight="1">
      <c r="B741" s="456"/>
      <c r="E741" s="457"/>
      <c r="F741" s="443"/>
      <c r="G741" s="26"/>
      <c r="H741" s="26"/>
      <c r="I741" s="26"/>
      <c r="J741" s="26"/>
    </row>
    <row r="742" spans="2:10" ht="15.95" customHeight="1">
      <c r="B742" s="456"/>
      <c r="E742" s="457"/>
      <c r="F742" s="443"/>
      <c r="G742" s="26"/>
      <c r="H742" s="26"/>
      <c r="I742" s="26"/>
      <c r="J742" s="26"/>
    </row>
    <row r="743" spans="2:10" ht="15.95" customHeight="1">
      <c r="B743" s="456"/>
      <c r="E743" s="457"/>
      <c r="F743" s="443"/>
      <c r="G743" s="26"/>
      <c r="H743" s="26"/>
      <c r="I743" s="26"/>
      <c r="J743" s="26"/>
    </row>
    <row r="744" spans="2:10" ht="15.95" customHeight="1">
      <c r="B744" s="456"/>
      <c r="E744" s="457"/>
      <c r="F744" s="443"/>
      <c r="G744" s="26"/>
      <c r="H744" s="26"/>
      <c r="I744" s="26"/>
      <c r="J744" s="26"/>
    </row>
    <row r="745" spans="2:10" ht="15.95" customHeight="1">
      <c r="B745" s="456"/>
      <c r="E745" s="457"/>
      <c r="F745" s="443"/>
      <c r="G745" s="26"/>
      <c r="H745" s="26"/>
      <c r="I745" s="26"/>
      <c r="J745" s="26"/>
    </row>
    <row r="746" spans="2:10" ht="15.95" customHeight="1">
      <c r="B746" s="456"/>
      <c r="E746" s="457"/>
      <c r="F746" s="443"/>
      <c r="G746" s="26"/>
      <c r="H746" s="26"/>
      <c r="I746" s="26"/>
      <c r="J746" s="26"/>
    </row>
    <row r="747" spans="2:10" ht="15.95" customHeight="1">
      <c r="B747" s="456"/>
      <c r="E747" s="457"/>
      <c r="F747" s="443"/>
      <c r="G747" s="26"/>
      <c r="H747" s="26"/>
      <c r="I747" s="26"/>
      <c r="J747" s="26"/>
    </row>
    <row r="748" spans="2:10" ht="15.95" customHeight="1">
      <c r="B748" s="456"/>
      <c r="E748" s="457"/>
      <c r="F748" s="443"/>
      <c r="G748" s="26"/>
      <c r="H748" s="26"/>
      <c r="I748" s="26"/>
      <c r="J748" s="26"/>
    </row>
    <row r="749" spans="2:10" ht="15.95" customHeight="1">
      <c r="B749" s="456"/>
      <c r="E749" s="457"/>
      <c r="F749" s="443"/>
      <c r="G749" s="26"/>
      <c r="H749" s="26"/>
      <c r="I749" s="26"/>
      <c r="J749" s="26"/>
    </row>
    <row r="750" spans="2:10" ht="15.95" customHeight="1">
      <c r="B750" s="456"/>
      <c r="E750" s="457"/>
      <c r="F750" s="443"/>
      <c r="G750" s="26"/>
      <c r="H750" s="26"/>
      <c r="I750" s="26"/>
      <c r="J750" s="26"/>
    </row>
    <row r="751" spans="2:10" ht="15.95" customHeight="1">
      <c r="B751" s="456"/>
      <c r="E751" s="457"/>
      <c r="F751" s="443"/>
      <c r="G751" s="26"/>
      <c r="H751" s="26"/>
      <c r="I751" s="26"/>
      <c r="J751" s="26"/>
    </row>
    <row r="752" spans="2:10" ht="15.95" customHeight="1">
      <c r="B752" s="456"/>
      <c r="E752" s="457"/>
      <c r="F752" s="443"/>
      <c r="G752" s="26"/>
      <c r="H752" s="26"/>
      <c r="I752" s="26"/>
      <c r="J752" s="26"/>
    </row>
    <row r="753" spans="2:10" ht="15.95" customHeight="1">
      <c r="B753" s="456"/>
      <c r="E753" s="457"/>
      <c r="F753" s="443"/>
      <c r="G753" s="26"/>
      <c r="H753" s="26"/>
      <c r="I753" s="26"/>
      <c r="J753" s="26"/>
    </row>
    <row r="754" spans="2:10" ht="15.95" customHeight="1">
      <c r="B754" s="456"/>
      <c r="E754" s="457"/>
      <c r="F754" s="443"/>
      <c r="G754" s="26"/>
      <c r="H754" s="26"/>
      <c r="I754" s="26"/>
      <c r="J754" s="26"/>
    </row>
    <row r="755" spans="2:10" ht="15.95" customHeight="1">
      <c r="B755" s="456"/>
      <c r="E755" s="457"/>
      <c r="F755" s="443"/>
      <c r="G755" s="26"/>
      <c r="H755" s="26"/>
      <c r="I755" s="26"/>
      <c r="J755" s="26"/>
    </row>
    <row r="756" spans="2:10" ht="15.95" customHeight="1">
      <c r="B756" s="456"/>
      <c r="E756" s="457"/>
      <c r="F756" s="443"/>
      <c r="G756" s="26"/>
      <c r="H756" s="26"/>
      <c r="I756" s="26"/>
      <c r="J756" s="26"/>
    </row>
    <row r="757" spans="2:10" ht="15.95" customHeight="1">
      <c r="B757" s="456"/>
      <c r="E757" s="457"/>
      <c r="F757" s="443"/>
      <c r="G757" s="26"/>
      <c r="H757" s="26"/>
      <c r="I757" s="26"/>
      <c r="J757" s="26"/>
    </row>
    <row r="758" spans="2:10" ht="15.95" customHeight="1">
      <c r="B758" s="456"/>
      <c r="E758" s="457"/>
      <c r="F758" s="443"/>
      <c r="G758" s="26"/>
      <c r="H758" s="26"/>
      <c r="I758" s="26"/>
      <c r="J758" s="26"/>
    </row>
    <row r="759" spans="2:10" ht="15.95" customHeight="1">
      <c r="B759" s="456"/>
      <c r="E759" s="457"/>
      <c r="F759" s="443"/>
      <c r="G759" s="26"/>
      <c r="H759" s="26"/>
      <c r="I759" s="26"/>
      <c r="J759" s="26"/>
    </row>
    <row r="760" spans="2:10" ht="15.95" customHeight="1">
      <c r="B760" s="456"/>
      <c r="E760" s="457"/>
      <c r="F760" s="443"/>
      <c r="G760" s="26"/>
      <c r="H760" s="26"/>
      <c r="I760" s="26"/>
      <c r="J760" s="26"/>
    </row>
    <row r="761" spans="2:10" ht="15.95" customHeight="1">
      <c r="B761" s="456"/>
      <c r="E761" s="457"/>
      <c r="F761" s="443"/>
      <c r="G761" s="26"/>
      <c r="H761" s="26"/>
      <c r="I761" s="26"/>
      <c r="J761" s="26"/>
    </row>
    <row r="762" spans="2:10" ht="15.95" customHeight="1">
      <c r="B762" s="456"/>
      <c r="E762" s="457"/>
      <c r="F762" s="443"/>
      <c r="G762" s="26"/>
      <c r="H762" s="26"/>
      <c r="I762" s="26"/>
      <c r="J762" s="26"/>
    </row>
    <row r="763" spans="2:10" ht="15.95" customHeight="1">
      <c r="B763" s="456"/>
      <c r="E763" s="457"/>
      <c r="F763" s="443"/>
      <c r="G763" s="26"/>
      <c r="H763" s="26"/>
      <c r="I763" s="26"/>
      <c r="J763" s="26"/>
    </row>
    <row r="764" spans="2:10" ht="15.95" customHeight="1">
      <c r="B764" s="456"/>
      <c r="E764" s="457"/>
      <c r="F764" s="443"/>
      <c r="G764" s="26"/>
      <c r="H764" s="26"/>
      <c r="I764" s="26"/>
      <c r="J764" s="26"/>
    </row>
    <row r="765" spans="2:10" ht="15.95" customHeight="1">
      <c r="B765" s="456"/>
      <c r="E765" s="457"/>
      <c r="F765" s="443"/>
      <c r="G765" s="26"/>
      <c r="H765" s="26"/>
      <c r="I765" s="26"/>
      <c r="J765" s="26"/>
    </row>
    <row r="766" spans="2:10" ht="15.95" customHeight="1">
      <c r="B766" s="456"/>
      <c r="E766" s="457"/>
      <c r="F766" s="443"/>
      <c r="G766" s="26"/>
      <c r="H766" s="26"/>
      <c r="I766" s="26"/>
      <c r="J766" s="26"/>
    </row>
    <row r="767" spans="2:10" ht="15.95" customHeight="1">
      <c r="B767" s="456"/>
      <c r="E767" s="457"/>
      <c r="F767" s="443"/>
      <c r="G767" s="26"/>
      <c r="H767" s="26"/>
      <c r="I767" s="26"/>
      <c r="J767" s="26"/>
    </row>
    <row r="768" spans="2:10" ht="15.95" customHeight="1">
      <c r="B768" s="456"/>
      <c r="E768" s="457"/>
      <c r="F768" s="443"/>
      <c r="G768" s="26"/>
      <c r="H768" s="26"/>
      <c r="I768" s="26"/>
      <c r="J768" s="26"/>
    </row>
    <row r="769" spans="2:10" ht="15.95" customHeight="1">
      <c r="B769" s="456"/>
      <c r="E769" s="457"/>
      <c r="F769" s="443"/>
      <c r="G769" s="26"/>
      <c r="H769" s="26"/>
      <c r="I769" s="26"/>
      <c r="J769" s="26"/>
    </row>
    <row r="770" spans="2:10" ht="15.95" customHeight="1">
      <c r="B770" s="456"/>
      <c r="E770" s="457"/>
      <c r="F770" s="443"/>
      <c r="G770" s="26"/>
      <c r="H770" s="26"/>
      <c r="I770" s="26"/>
      <c r="J770" s="26"/>
    </row>
    <row r="771" spans="2:10" ht="15.95" customHeight="1">
      <c r="B771" s="456"/>
      <c r="E771" s="457"/>
      <c r="F771" s="443"/>
      <c r="G771" s="26"/>
      <c r="H771" s="26"/>
      <c r="I771" s="26"/>
      <c r="J771" s="26"/>
    </row>
    <row r="772" spans="2:10" ht="15.95" customHeight="1">
      <c r="B772" s="456"/>
      <c r="E772" s="457"/>
      <c r="F772" s="443"/>
      <c r="G772" s="26"/>
      <c r="H772" s="26"/>
      <c r="I772" s="26"/>
      <c r="J772" s="26"/>
    </row>
    <row r="773" spans="2:10" ht="15.95" customHeight="1">
      <c r="B773" s="456"/>
      <c r="E773" s="457"/>
      <c r="F773" s="443"/>
      <c r="G773" s="26"/>
      <c r="H773" s="26"/>
      <c r="I773" s="26"/>
      <c r="J773" s="26"/>
    </row>
    <row r="774" spans="2:10" ht="15.95" customHeight="1">
      <c r="B774" s="456"/>
      <c r="E774" s="457"/>
      <c r="F774" s="443"/>
      <c r="G774" s="26"/>
      <c r="H774" s="26"/>
      <c r="I774" s="26"/>
      <c r="J774" s="26"/>
    </row>
    <row r="775" spans="2:10" ht="15.95" customHeight="1">
      <c r="B775" s="456"/>
      <c r="E775" s="457"/>
      <c r="F775" s="443"/>
      <c r="G775" s="26"/>
      <c r="H775" s="26"/>
      <c r="I775" s="26"/>
      <c r="J775" s="26"/>
    </row>
    <row r="776" spans="2:10" ht="15.95" customHeight="1">
      <c r="B776" s="456"/>
      <c r="E776" s="457"/>
      <c r="F776" s="443"/>
      <c r="G776" s="26"/>
      <c r="H776" s="26"/>
      <c r="I776" s="26"/>
      <c r="J776" s="26"/>
    </row>
    <row r="777" spans="2:10" ht="15.95" customHeight="1">
      <c r="B777" s="456"/>
      <c r="E777" s="457"/>
      <c r="F777" s="443"/>
      <c r="G777" s="26"/>
      <c r="H777" s="26"/>
      <c r="I777" s="26"/>
      <c r="J777" s="26"/>
    </row>
    <row r="778" spans="2:10" ht="15.95" customHeight="1">
      <c r="B778" s="456"/>
      <c r="E778" s="457"/>
      <c r="F778" s="443"/>
      <c r="G778" s="26"/>
      <c r="H778" s="26"/>
      <c r="I778" s="26"/>
      <c r="J778" s="26"/>
    </row>
    <row r="779" spans="2:10" ht="15.95" customHeight="1">
      <c r="B779" s="456"/>
      <c r="E779" s="457"/>
      <c r="F779" s="443"/>
      <c r="G779" s="26"/>
      <c r="H779" s="26"/>
      <c r="I779" s="26"/>
      <c r="J779" s="26"/>
    </row>
    <row r="780" spans="2:10" ht="15.95" customHeight="1">
      <c r="B780" s="456"/>
      <c r="E780" s="457"/>
      <c r="F780" s="443"/>
      <c r="G780" s="26"/>
      <c r="H780" s="26"/>
      <c r="I780" s="26"/>
      <c r="J780" s="26"/>
    </row>
    <row r="781" spans="2:10" ht="15.95" customHeight="1">
      <c r="B781" s="456"/>
      <c r="E781" s="457"/>
      <c r="F781" s="443"/>
      <c r="G781" s="26"/>
      <c r="H781" s="26"/>
      <c r="I781" s="26"/>
      <c r="J781" s="26"/>
    </row>
    <row r="782" spans="2:10" ht="15.95" customHeight="1">
      <c r="B782" s="456"/>
      <c r="E782" s="457"/>
      <c r="F782" s="443"/>
      <c r="G782" s="26"/>
      <c r="H782" s="26"/>
      <c r="I782" s="26"/>
      <c r="J782" s="26"/>
    </row>
    <row r="783" spans="2:10" ht="15.95" customHeight="1">
      <c r="B783" s="456"/>
      <c r="E783" s="457"/>
      <c r="F783" s="443"/>
      <c r="G783" s="26"/>
      <c r="H783" s="26"/>
      <c r="I783" s="26"/>
      <c r="J783" s="26"/>
    </row>
    <row r="784" spans="2:10" ht="15.95" customHeight="1">
      <c r="B784" s="456"/>
      <c r="E784" s="457"/>
      <c r="F784" s="443"/>
      <c r="G784" s="26"/>
      <c r="H784" s="26"/>
      <c r="I784" s="26"/>
      <c r="J784" s="26"/>
    </row>
    <row r="785" spans="2:10" ht="15.95" customHeight="1">
      <c r="B785" s="456"/>
      <c r="E785" s="457"/>
      <c r="F785" s="443"/>
      <c r="G785" s="26"/>
      <c r="H785" s="26"/>
      <c r="I785" s="26"/>
      <c r="J785" s="26"/>
    </row>
    <row r="786" spans="2:10" ht="15.95" customHeight="1">
      <c r="B786" s="456"/>
      <c r="E786" s="457"/>
      <c r="F786" s="443"/>
      <c r="G786" s="26"/>
      <c r="H786" s="26"/>
      <c r="I786" s="26"/>
      <c r="J786" s="26"/>
    </row>
    <row r="787" spans="2:10" ht="15.95" customHeight="1">
      <c r="B787" s="456"/>
      <c r="E787" s="457"/>
      <c r="F787" s="443"/>
      <c r="G787" s="26"/>
      <c r="H787" s="26"/>
      <c r="I787" s="26"/>
      <c r="J787" s="26"/>
    </row>
    <row r="788" spans="2:10" ht="15.95" customHeight="1">
      <c r="B788" s="456"/>
      <c r="E788" s="457"/>
      <c r="F788" s="443"/>
      <c r="G788" s="26"/>
      <c r="H788" s="26"/>
      <c r="I788" s="26"/>
      <c r="J788" s="26"/>
    </row>
    <row r="789" spans="2:10" ht="15.95" customHeight="1">
      <c r="B789" s="456"/>
      <c r="E789" s="457"/>
      <c r="F789" s="443"/>
      <c r="G789" s="26"/>
      <c r="H789" s="26"/>
      <c r="I789" s="26"/>
      <c r="J789" s="26"/>
    </row>
    <row r="790" spans="2:10" ht="15.95" customHeight="1">
      <c r="B790" s="456"/>
      <c r="E790" s="457"/>
      <c r="F790" s="443"/>
      <c r="G790" s="26"/>
      <c r="H790" s="26"/>
      <c r="I790" s="26"/>
      <c r="J790" s="26"/>
    </row>
    <row r="791" spans="2:10" ht="15.95" customHeight="1">
      <c r="B791" s="456"/>
      <c r="E791" s="457"/>
      <c r="F791" s="443"/>
      <c r="G791" s="26"/>
      <c r="H791" s="26"/>
      <c r="I791" s="26"/>
      <c r="J791" s="26"/>
    </row>
    <row r="792" spans="2:10" ht="15.95" customHeight="1">
      <c r="B792" s="456"/>
      <c r="E792" s="457"/>
      <c r="F792" s="443"/>
      <c r="G792" s="26"/>
      <c r="H792" s="26"/>
      <c r="I792" s="26"/>
      <c r="J792" s="26"/>
    </row>
    <row r="793" spans="2:10" ht="15.95" customHeight="1">
      <c r="B793" s="456"/>
      <c r="E793" s="457"/>
      <c r="F793" s="443"/>
      <c r="G793" s="26"/>
      <c r="H793" s="26"/>
      <c r="I793" s="26"/>
      <c r="J793" s="26"/>
    </row>
    <row r="794" spans="2:10" ht="15.95" customHeight="1">
      <c r="B794" s="456"/>
      <c r="E794" s="457"/>
      <c r="F794" s="443"/>
      <c r="G794" s="26"/>
      <c r="H794" s="26"/>
      <c r="I794" s="26"/>
      <c r="J794" s="26"/>
    </row>
    <row r="795" spans="2:10" ht="15.95" customHeight="1">
      <c r="B795" s="456"/>
      <c r="E795" s="457"/>
      <c r="F795" s="443"/>
      <c r="G795" s="26"/>
      <c r="H795" s="26"/>
      <c r="I795" s="26"/>
      <c r="J795" s="26"/>
    </row>
    <row r="796" spans="2:10" ht="15.95" customHeight="1">
      <c r="B796" s="456"/>
      <c r="E796" s="457"/>
      <c r="F796" s="443"/>
      <c r="G796" s="26"/>
      <c r="H796" s="26"/>
      <c r="I796" s="26"/>
      <c r="J796" s="26"/>
    </row>
    <row r="797" spans="2:10" ht="15.95" customHeight="1">
      <c r="B797" s="456"/>
      <c r="E797" s="457"/>
      <c r="F797" s="443"/>
      <c r="G797" s="26"/>
      <c r="H797" s="26"/>
      <c r="I797" s="26"/>
      <c r="J797" s="26"/>
    </row>
    <row r="798" spans="2:10" ht="15.95" customHeight="1">
      <c r="B798" s="456"/>
      <c r="E798" s="457"/>
      <c r="F798" s="443"/>
      <c r="G798" s="26"/>
      <c r="H798" s="26"/>
      <c r="I798" s="26"/>
      <c r="J798" s="26"/>
    </row>
    <row r="799" spans="2:10" ht="15.95" customHeight="1">
      <c r="B799" s="456"/>
      <c r="E799" s="457"/>
      <c r="F799" s="443"/>
      <c r="G799" s="26"/>
      <c r="H799" s="26"/>
      <c r="I799" s="26"/>
      <c r="J799" s="26"/>
    </row>
    <row r="800" spans="2:10" ht="15.95" customHeight="1">
      <c r="B800" s="456"/>
      <c r="E800" s="457"/>
      <c r="F800" s="443"/>
      <c r="G800" s="26"/>
      <c r="H800" s="26"/>
      <c r="I800" s="26"/>
      <c r="J800" s="26"/>
    </row>
    <row r="801" spans="2:10" ht="15.95" customHeight="1">
      <c r="B801" s="456"/>
      <c r="E801" s="457"/>
      <c r="F801" s="443"/>
      <c r="G801" s="26"/>
      <c r="H801" s="26"/>
      <c r="I801" s="26"/>
      <c r="J801" s="26"/>
    </row>
    <row r="802" spans="2:10" ht="15.95" customHeight="1">
      <c r="B802" s="456"/>
      <c r="E802" s="457"/>
      <c r="F802" s="443"/>
      <c r="G802" s="26"/>
      <c r="H802" s="26"/>
      <c r="I802" s="26"/>
      <c r="J802" s="26"/>
    </row>
    <row r="803" spans="2:10" ht="15.95" customHeight="1">
      <c r="B803" s="456"/>
      <c r="E803" s="457"/>
      <c r="F803" s="443"/>
      <c r="G803" s="26"/>
      <c r="H803" s="26"/>
      <c r="I803" s="26"/>
      <c r="J803" s="26"/>
    </row>
    <row r="804" spans="2:10" ht="15.95" customHeight="1">
      <c r="B804" s="456"/>
      <c r="E804" s="457"/>
      <c r="F804" s="443"/>
      <c r="G804" s="26"/>
      <c r="H804" s="26"/>
      <c r="I804" s="26"/>
      <c r="J804" s="26"/>
    </row>
    <row r="805" spans="2:10" ht="15.95" customHeight="1">
      <c r="B805" s="456"/>
      <c r="E805" s="457"/>
      <c r="F805" s="443"/>
      <c r="G805" s="26"/>
      <c r="H805" s="26"/>
      <c r="I805" s="26"/>
      <c r="J805" s="26"/>
    </row>
    <row r="806" spans="2:10" ht="15.95" customHeight="1">
      <c r="B806" s="456"/>
      <c r="E806" s="457"/>
      <c r="F806" s="443"/>
      <c r="G806" s="26"/>
      <c r="H806" s="26"/>
      <c r="I806" s="26"/>
      <c r="J806" s="26"/>
    </row>
    <row r="807" spans="2:10" ht="15.95" customHeight="1">
      <c r="B807" s="456"/>
      <c r="E807" s="457"/>
      <c r="F807" s="443"/>
      <c r="G807" s="26"/>
      <c r="H807" s="26"/>
      <c r="I807" s="26"/>
      <c r="J807" s="26"/>
    </row>
    <row r="808" spans="2:10" ht="15.95" customHeight="1">
      <c r="B808" s="456"/>
      <c r="E808" s="457"/>
      <c r="F808" s="443"/>
      <c r="G808" s="26"/>
      <c r="H808" s="26"/>
      <c r="I808" s="26"/>
      <c r="J808" s="26"/>
    </row>
    <row r="809" spans="2:10" ht="15.95" customHeight="1">
      <c r="B809" s="456"/>
      <c r="E809" s="457"/>
      <c r="F809" s="443"/>
      <c r="G809" s="26"/>
      <c r="H809" s="26"/>
      <c r="I809" s="26"/>
      <c r="J809" s="26"/>
    </row>
    <row r="810" spans="2:10" ht="15.95" customHeight="1">
      <c r="B810" s="456"/>
      <c r="E810" s="457"/>
      <c r="F810" s="443"/>
      <c r="G810" s="26"/>
      <c r="H810" s="26"/>
      <c r="I810" s="26"/>
      <c r="J810" s="26"/>
    </row>
    <row r="811" spans="2:10" ht="15.95" customHeight="1">
      <c r="B811" s="456"/>
      <c r="E811" s="457"/>
      <c r="F811" s="443"/>
      <c r="G811" s="26"/>
      <c r="H811" s="26"/>
      <c r="I811" s="26"/>
      <c r="J811" s="26"/>
    </row>
    <row r="812" spans="2:10" ht="15.95" customHeight="1">
      <c r="B812" s="456"/>
      <c r="E812" s="457"/>
      <c r="F812" s="443"/>
      <c r="G812" s="26"/>
      <c r="H812" s="26"/>
      <c r="I812" s="26"/>
      <c r="J812" s="26"/>
    </row>
    <row r="813" spans="2:10" ht="15.95" customHeight="1">
      <c r="B813" s="456"/>
      <c r="E813" s="457"/>
      <c r="F813" s="443"/>
      <c r="G813" s="26"/>
      <c r="H813" s="26"/>
      <c r="I813" s="26"/>
      <c r="J813" s="26"/>
    </row>
    <row r="814" spans="2:10" ht="15.95" customHeight="1">
      <c r="B814" s="456"/>
      <c r="E814" s="457"/>
      <c r="F814" s="443"/>
      <c r="G814" s="26"/>
      <c r="H814" s="26"/>
      <c r="I814" s="26"/>
      <c r="J814" s="26"/>
    </row>
    <row r="815" spans="2:10" ht="15.95" customHeight="1">
      <c r="B815" s="456"/>
      <c r="E815" s="457"/>
      <c r="F815" s="443"/>
      <c r="G815" s="26"/>
      <c r="H815" s="26"/>
      <c r="I815" s="26"/>
      <c r="J815" s="26"/>
    </row>
    <row r="816" spans="2:10" ht="15.95" customHeight="1">
      <c r="B816" s="456"/>
      <c r="E816" s="457"/>
      <c r="F816" s="443"/>
      <c r="G816" s="26"/>
      <c r="H816" s="26"/>
      <c r="I816" s="26"/>
      <c r="J816" s="26"/>
    </row>
    <row r="817" spans="2:10" ht="15.95" customHeight="1">
      <c r="B817" s="456"/>
      <c r="E817" s="457"/>
      <c r="F817" s="443"/>
      <c r="G817" s="26"/>
      <c r="H817" s="26"/>
      <c r="I817" s="26"/>
      <c r="J817" s="26"/>
    </row>
    <row r="818" spans="2:10" ht="15.95" customHeight="1">
      <c r="B818" s="456"/>
      <c r="E818" s="457"/>
      <c r="F818" s="443"/>
      <c r="G818" s="26"/>
      <c r="H818" s="26"/>
      <c r="I818" s="26"/>
      <c r="J818" s="26"/>
    </row>
    <row r="819" spans="2:10" ht="15.95" customHeight="1">
      <c r="B819" s="456"/>
      <c r="E819" s="457"/>
      <c r="F819" s="443"/>
      <c r="G819" s="26"/>
      <c r="H819" s="26"/>
      <c r="I819" s="26"/>
      <c r="J819" s="26"/>
    </row>
    <row r="820" spans="2:10" ht="15.95" customHeight="1">
      <c r="B820" s="456"/>
      <c r="E820" s="457"/>
      <c r="F820" s="443"/>
      <c r="G820" s="26"/>
      <c r="H820" s="26"/>
      <c r="I820" s="26"/>
      <c r="J820" s="26"/>
    </row>
    <row r="821" spans="2:10" ht="15.95" customHeight="1">
      <c r="B821" s="456"/>
      <c r="E821" s="457"/>
      <c r="F821" s="443"/>
      <c r="G821" s="26"/>
      <c r="H821" s="26"/>
      <c r="I821" s="26"/>
      <c r="J821" s="26"/>
    </row>
    <row r="822" spans="2:10" ht="15.95" customHeight="1">
      <c r="B822" s="456"/>
      <c r="E822" s="457"/>
      <c r="F822" s="443"/>
      <c r="G822" s="26"/>
      <c r="H822" s="26"/>
      <c r="I822" s="26"/>
      <c r="J822" s="26"/>
    </row>
    <row r="823" spans="2:10" ht="15.95" customHeight="1">
      <c r="B823" s="456"/>
      <c r="E823" s="457"/>
      <c r="F823" s="443"/>
      <c r="G823" s="26"/>
      <c r="H823" s="26"/>
      <c r="I823" s="26"/>
      <c r="J823" s="26"/>
    </row>
    <row r="824" spans="2:10" ht="15.95" customHeight="1">
      <c r="B824" s="456"/>
      <c r="E824" s="457"/>
      <c r="F824" s="443"/>
      <c r="G824" s="26"/>
      <c r="H824" s="26"/>
      <c r="I824" s="26"/>
      <c r="J824" s="26"/>
    </row>
    <row r="825" spans="2:10" ht="15.95" customHeight="1">
      <c r="B825" s="456"/>
      <c r="E825" s="457"/>
      <c r="F825" s="443"/>
      <c r="G825" s="26"/>
      <c r="H825" s="26"/>
      <c r="I825" s="26"/>
      <c r="J825" s="26"/>
    </row>
    <row r="826" spans="2:10" ht="15.95" customHeight="1">
      <c r="B826" s="456"/>
      <c r="E826" s="457"/>
      <c r="F826" s="443"/>
      <c r="G826" s="26"/>
      <c r="H826" s="26"/>
      <c r="I826" s="26"/>
      <c r="J826" s="26"/>
    </row>
    <row r="827" spans="2:10" ht="15.95" customHeight="1">
      <c r="B827" s="456"/>
      <c r="E827" s="457"/>
      <c r="F827" s="443"/>
      <c r="G827" s="26"/>
      <c r="H827" s="26"/>
      <c r="I827" s="26"/>
      <c r="J827" s="26"/>
    </row>
    <row r="828" spans="2:10" ht="15.95" customHeight="1">
      <c r="B828" s="456"/>
      <c r="E828" s="457"/>
      <c r="F828" s="443"/>
      <c r="G828" s="26"/>
      <c r="H828" s="26"/>
      <c r="I828" s="26"/>
      <c r="J828" s="26"/>
    </row>
    <row r="829" spans="2:10" ht="15.95" customHeight="1">
      <c r="B829" s="456"/>
      <c r="E829" s="457"/>
      <c r="F829" s="443"/>
      <c r="G829" s="26"/>
      <c r="H829" s="26"/>
      <c r="I829" s="26"/>
      <c r="J829" s="26"/>
    </row>
    <row r="830" spans="2:10" ht="15.95" customHeight="1">
      <c r="B830" s="456"/>
      <c r="E830" s="457"/>
      <c r="F830" s="443"/>
      <c r="G830" s="26"/>
      <c r="H830" s="26"/>
      <c r="I830" s="26"/>
      <c r="J830" s="26"/>
    </row>
    <row r="831" spans="2:10" ht="15.95" customHeight="1">
      <c r="B831" s="456"/>
      <c r="E831" s="457"/>
      <c r="F831" s="443"/>
      <c r="G831" s="26"/>
      <c r="H831" s="26"/>
      <c r="I831" s="26"/>
      <c r="J831" s="26"/>
    </row>
    <row r="832" spans="2:10" ht="15.95" customHeight="1">
      <c r="B832" s="456"/>
      <c r="E832" s="457"/>
      <c r="F832" s="443"/>
      <c r="G832" s="26"/>
      <c r="H832" s="26"/>
      <c r="I832" s="26"/>
      <c r="J832" s="26"/>
    </row>
    <row r="833" spans="2:10" ht="15.95" customHeight="1">
      <c r="B833" s="456"/>
      <c r="E833" s="457"/>
      <c r="F833" s="443"/>
      <c r="G833" s="26"/>
      <c r="H833" s="26"/>
      <c r="I833" s="26"/>
      <c r="J833" s="26"/>
    </row>
    <row r="834" spans="2:10" ht="15.95" customHeight="1">
      <c r="B834" s="456"/>
      <c r="E834" s="457"/>
      <c r="F834" s="443"/>
      <c r="G834" s="26"/>
      <c r="H834" s="26"/>
      <c r="I834" s="26"/>
      <c r="J834" s="26"/>
    </row>
    <row r="835" spans="2:10" ht="15.95" customHeight="1">
      <c r="B835" s="456"/>
      <c r="E835" s="457"/>
      <c r="F835" s="443"/>
      <c r="G835" s="26"/>
      <c r="H835" s="26"/>
      <c r="I835" s="26"/>
      <c r="J835" s="26"/>
    </row>
    <row r="836" spans="2:10" ht="15.95" customHeight="1">
      <c r="B836" s="456"/>
      <c r="E836" s="457"/>
      <c r="F836" s="443"/>
      <c r="G836" s="26"/>
      <c r="H836" s="26"/>
      <c r="I836" s="26"/>
      <c r="J836" s="26"/>
    </row>
    <row r="837" spans="2:10" ht="15.95" customHeight="1">
      <c r="B837" s="456"/>
      <c r="E837" s="457"/>
      <c r="F837" s="443"/>
      <c r="G837" s="26"/>
      <c r="H837" s="26"/>
      <c r="I837" s="26"/>
      <c r="J837" s="26"/>
    </row>
    <row r="838" spans="2:10" ht="15.95" customHeight="1">
      <c r="B838" s="456"/>
      <c r="E838" s="457"/>
      <c r="F838" s="443"/>
      <c r="G838" s="26"/>
      <c r="H838" s="26"/>
      <c r="I838" s="26"/>
      <c r="J838" s="26"/>
    </row>
    <row r="839" spans="2:10" ht="15.95" customHeight="1">
      <c r="B839" s="456"/>
      <c r="E839" s="457"/>
      <c r="F839" s="443"/>
      <c r="G839" s="26"/>
      <c r="H839" s="26"/>
      <c r="I839" s="26"/>
      <c r="J839" s="26"/>
    </row>
    <row r="840" spans="2:10" ht="15.95" customHeight="1">
      <c r="B840" s="456"/>
      <c r="E840" s="457"/>
      <c r="F840" s="443"/>
      <c r="G840" s="26"/>
      <c r="H840" s="26"/>
      <c r="I840" s="26"/>
      <c r="J840" s="26"/>
    </row>
    <row r="841" spans="2:10" ht="15.95" customHeight="1">
      <c r="B841" s="456"/>
      <c r="E841" s="457"/>
      <c r="F841" s="443"/>
      <c r="G841" s="26"/>
      <c r="H841" s="26"/>
      <c r="I841" s="26"/>
      <c r="J841" s="26"/>
    </row>
    <row r="842" spans="2:10" ht="15.95" customHeight="1">
      <c r="B842" s="456"/>
      <c r="E842" s="457"/>
      <c r="F842" s="443"/>
      <c r="G842" s="26"/>
      <c r="H842" s="26"/>
      <c r="I842" s="26"/>
      <c r="J842" s="26"/>
    </row>
    <row r="843" spans="2:10" ht="15.95" customHeight="1">
      <c r="B843" s="456"/>
      <c r="E843" s="457"/>
      <c r="F843" s="443"/>
      <c r="G843" s="26"/>
      <c r="H843" s="26"/>
      <c r="I843" s="26"/>
      <c r="J843" s="26"/>
    </row>
    <row r="844" spans="2:10" ht="15.95" customHeight="1">
      <c r="B844" s="456"/>
      <c r="E844" s="457"/>
      <c r="F844" s="443"/>
      <c r="G844" s="26"/>
      <c r="H844" s="26"/>
      <c r="I844" s="26"/>
      <c r="J844" s="26"/>
    </row>
    <row r="845" spans="2:10" ht="15.95" customHeight="1">
      <c r="B845" s="456"/>
      <c r="E845" s="457"/>
      <c r="F845" s="443"/>
      <c r="G845" s="26"/>
      <c r="H845" s="26"/>
      <c r="I845" s="26"/>
      <c r="J845" s="26"/>
    </row>
    <row r="846" spans="2:10" ht="15.95" customHeight="1">
      <c r="B846" s="456"/>
      <c r="E846" s="457"/>
      <c r="F846" s="443"/>
      <c r="G846" s="26"/>
      <c r="H846" s="26"/>
      <c r="I846" s="26"/>
      <c r="J846" s="26"/>
    </row>
    <row r="847" spans="2:10" ht="15.95" customHeight="1">
      <c r="B847" s="456"/>
      <c r="E847" s="457"/>
      <c r="F847" s="443"/>
      <c r="G847" s="26"/>
      <c r="H847" s="26"/>
      <c r="I847" s="26"/>
      <c r="J847" s="26"/>
    </row>
    <row r="848" spans="2:10" ht="15.95" customHeight="1">
      <c r="B848" s="456"/>
      <c r="E848" s="457"/>
      <c r="F848" s="443"/>
      <c r="G848" s="26"/>
      <c r="H848" s="26"/>
      <c r="I848" s="26"/>
      <c r="J848" s="26"/>
    </row>
    <row r="849" spans="2:10" ht="15.95" customHeight="1">
      <c r="B849" s="456"/>
      <c r="E849" s="457"/>
      <c r="F849" s="443"/>
      <c r="G849" s="26"/>
      <c r="H849" s="26"/>
      <c r="I849" s="26"/>
      <c r="J849" s="26"/>
    </row>
    <row r="850" spans="2:10" ht="15.95" customHeight="1">
      <c r="B850" s="456"/>
      <c r="E850" s="457"/>
      <c r="F850" s="443"/>
      <c r="G850" s="26"/>
      <c r="H850" s="26"/>
      <c r="I850" s="26"/>
      <c r="J850" s="26"/>
    </row>
    <row r="851" spans="2:10" ht="15.95" customHeight="1">
      <c r="B851" s="456"/>
      <c r="E851" s="457"/>
      <c r="F851" s="443"/>
      <c r="G851" s="26"/>
      <c r="H851" s="26"/>
      <c r="I851" s="26"/>
      <c r="J851" s="26"/>
    </row>
    <row r="852" spans="2:10" ht="15.95" customHeight="1">
      <c r="B852" s="456"/>
      <c r="E852" s="457"/>
      <c r="F852" s="443"/>
      <c r="G852" s="26"/>
      <c r="H852" s="26"/>
      <c r="I852" s="26"/>
      <c r="J852" s="26"/>
    </row>
    <row r="853" spans="2:10" ht="15.95" customHeight="1">
      <c r="B853" s="456"/>
      <c r="E853" s="457"/>
      <c r="F853" s="443"/>
      <c r="G853" s="26"/>
      <c r="H853" s="26"/>
      <c r="I853" s="26"/>
      <c r="J853" s="26"/>
    </row>
    <row r="854" spans="2:10" ht="15.95" customHeight="1">
      <c r="B854" s="456"/>
      <c r="E854" s="457"/>
      <c r="F854" s="443"/>
      <c r="G854" s="26"/>
      <c r="H854" s="26"/>
      <c r="I854" s="26"/>
      <c r="J854" s="26"/>
    </row>
    <row r="855" spans="2:10" ht="15.95" customHeight="1">
      <c r="B855" s="456"/>
      <c r="E855" s="457"/>
      <c r="F855" s="443"/>
      <c r="G855" s="26"/>
      <c r="H855" s="26"/>
      <c r="I855" s="26"/>
      <c r="J855" s="26"/>
    </row>
    <row r="856" spans="2:10" ht="15.95" customHeight="1">
      <c r="B856" s="456"/>
      <c r="E856" s="457"/>
      <c r="F856" s="443"/>
      <c r="G856" s="26"/>
      <c r="H856" s="26"/>
      <c r="I856" s="26"/>
      <c r="J856" s="26"/>
    </row>
    <row r="857" spans="2:10" ht="15.95" customHeight="1">
      <c r="B857" s="456"/>
      <c r="E857" s="457"/>
      <c r="F857" s="443"/>
      <c r="G857" s="26"/>
      <c r="H857" s="26"/>
      <c r="I857" s="26"/>
      <c r="J857" s="26"/>
    </row>
    <row r="858" spans="2:10" ht="15.95" customHeight="1">
      <c r="B858" s="456"/>
      <c r="E858" s="457"/>
      <c r="F858" s="443"/>
      <c r="G858" s="26"/>
      <c r="H858" s="26"/>
      <c r="I858" s="26"/>
      <c r="J858" s="26"/>
    </row>
    <row r="859" spans="2:10" ht="15.95" customHeight="1">
      <c r="B859" s="456"/>
      <c r="E859" s="457"/>
      <c r="F859" s="443"/>
      <c r="G859" s="26"/>
      <c r="H859" s="26"/>
      <c r="I859" s="26"/>
      <c r="J859" s="26"/>
    </row>
    <row r="860" spans="2:10" ht="15.95" customHeight="1">
      <c r="B860" s="456"/>
      <c r="E860" s="457"/>
      <c r="F860" s="443"/>
      <c r="G860" s="26"/>
      <c r="H860" s="26"/>
      <c r="I860" s="26"/>
      <c r="J860" s="26"/>
    </row>
    <row r="861" spans="2:10" ht="15.95" customHeight="1">
      <c r="B861" s="456"/>
      <c r="E861" s="457"/>
      <c r="F861" s="443"/>
      <c r="G861" s="26"/>
      <c r="H861" s="26"/>
      <c r="I861" s="26"/>
      <c r="J861" s="26"/>
    </row>
    <row r="862" spans="2:10" ht="15.95" customHeight="1">
      <c r="B862" s="456"/>
      <c r="E862" s="457"/>
      <c r="F862" s="443"/>
      <c r="G862" s="26"/>
      <c r="H862" s="26"/>
      <c r="I862" s="26"/>
      <c r="J862" s="26"/>
    </row>
    <row r="863" spans="2:10" ht="15.95" customHeight="1">
      <c r="B863" s="456"/>
      <c r="E863" s="457"/>
      <c r="F863" s="443"/>
      <c r="G863" s="26"/>
      <c r="H863" s="26"/>
      <c r="I863" s="26"/>
      <c r="J863" s="26"/>
    </row>
    <row r="864" spans="2:10" ht="15.95" customHeight="1">
      <c r="B864" s="456"/>
      <c r="E864" s="457"/>
      <c r="F864" s="443"/>
      <c r="G864" s="26"/>
      <c r="H864" s="26"/>
      <c r="I864" s="26"/>
      <c r="J864" s="26"/>
    </row>
    <row r="865" spans="2:10" ht="15.95" customHeight="1">
      <c r="B865" s="456"/>
      <c r="E865" s="457"/>
      <c r="F865" s="443"/>
      <c r="G865" s="26"/>
      <c r="H865" s="26"/>
      <c r="I865" s="26"/>
      <c r="J865" s="26"/>
    </row>
    <row r="866" spans="2:10" ht="15.95" customHeight="1">
      <c r="B866" s="456"/>
      <c r="E866" s="457"/>
      <c r="F866" s="443"/>
      <c r="G866" s="26"/>
      <c r="H866" s="26"/>
      <c r="I866" s="26"/>
      <c r="J866" s="26"/>
    </row>
    <row r="867" spans="2:10" ht="15.95" customHeight="1">
      <c r="B867" s="456"/>
      <c r="E867" s="457"/>
      <c r="F867" s="443"/>
      <c r="G867" s="26"/>
      <c r="H867" s="26"/>
      <c r="I867" s="26"/>
      <c r="J867" s="26"/>
    </row>
    <row r="868" spans="2:10" ht="15.95" customHeight="1">
      <c r="B868" s="456"/>
      <c r="E868" s="457"/>
      <c r="F868" s="443"/>
      <c r="G868" s="26"/>
      <c r="H868" s="26"/>
      <c r="I868" s="26"/>
      <c r="J868" s="26"/>
    </row>
    <row r="869" spans="2:10" ht="15.95" customHeight="1">
      <c r="B869" s="456"/>
      <c r="E869" s="457"/>
      <c r="F869" s="443"/>
      <c r="G869" s="26"/>
      <c r="H869" s="26"/>
      <c r="I869" s="26"/>
      <c r="J869" s="26"/>
    </row>
    <row r="870" spans="2:10" ht="15.95" customHeight="1">
      <c r="B870" s="456"/>
      <c r="E870" s="457"/>
      <c r="F870" s="443"/>
      <c r="G870" s="26"/>
      <c r="H870" s="26"/>
      <c r="I870" s="26"/>
      <c r="J870" s="26"/>
    </row>
    <row r="871" spans="2:10" ht="15.95" customHeight="1">
      <c r="B871" s="456"/>
      <c r="E871" s="457"/>
      <c r="F871" s="443"/>
      <c r="G871" s="26"/>
      <c r="H871" s="26"/>
      <c r="I871" s="26"/>
      <c r="J871" s="26"/>
    </row>
    <row r="872" spans="2:10" ht="15.95" customHeight="1">
      <c r="B872" s="456"/>
      <c r="E872" s="457"/>
      <c r="F872" s="443"/>
      <c r="G872" s="26"/>
      <c r="H872" s="26"/>
      <c r="I872" s="26"/>
      <c r="J872" s="26"/>
    </row>
    <row r="873" spans="2:10" ht="15.95" customHeight="1">
      <c r="B873" s="456"/>
      <c r="E873" s="457"/>
      <c r="F873" s="443"/>
      <c r="G873" s="26"/>
      <c r="H873" s="26"/>
      <c r="I873" s="26"/>
      <c r="J873" s="26"/>
    </row>
    <row r="874" spans="2:10" ht="15.95" customHeight="1">
      <c r="B874" s="456"/>
      <c r="E874" s="457"/>
      <c r="F874" s="443"/>
      <c r="G874" s="26"/>
      <c r="H874" s="26"/>
      <c r="I874" s="26"/>
      <c r="J874" s="26"/>
    </row>
    <row r="875" spans="2:10" ht="15.95" customHeight="1">
      <c r="B875" s="456"/>
      <c r="E875" s="457"/>
      <c r="F875" s="443"/>
      <c r="G875" s="26"/>
      <c r="H875" s="26"/>
      <c r="I875" s="26"/>
      <c r="J875" s="26"/>
    </row>
    <row r="876" spans="2:10" ht="15.95" customHeight="1">
      <c r="B876" s="456"/>
      <c r="E876" s="457"/>
      <c r="F876" s="443"/>
      <c r="G876" s="26"/>
      <c r="H876" s="26"/>
      <c r="I876" s="26"/>
      <c r="J876" s="26"/>
    </row>
    <row r="877" spans="2:10" ht="15.95" customHeight="1">
      <c r="B877" s="456"/>
      <c r="E877" s="457"/>
      <c r="F877" s="443"/>
      <c r="G877" s="26"/>
      <c r="H877" s="26"/>
      <c r="I877" s="26"/>
      <c r="J877" s="26"/>
    </row>
    <row r="878" spans="2:10" ht="15.95" customHeight="1">
      <c r="B878" s="456"/>
      <c r="E878" s="457"/>
      <c r="F878" s="443"/>
      <c r="G878" s="26"/>
      <c r="H878" s="26"/>
      <c r="I878" s="26"/>
      <c r="J878" s="26"/>
    </row>
    <row r="879" spans="2:10" ht="15.95" customHeight="1">
      <c r="B879" s="456"/>
      <c r="E879" s="457"/>
      <c r="F879" s="443"/>
      <c r="G879" s="26"/>
      <c r="H879" s="26"/>
      <c r="I879" s="26"/>
      <c r="J879" s="26"/>
    </row>
    <row r="880" spans="2:10" ht="15.95" customHeight="1">
      <c r="B880" s="456"/>
      <c r="E880" s="457"/>
      <c r="F880" s="443"/>
      <c r="G880" s="26"/>
      <c r="H880" s="26"/>
      <c r="I880" s="26"/>
      <c r="J880" s="26"/>
    </row>
    <row r="881" spans="2:10" ht="15.95" customHeight="1">
      <c r="B881" s="456"/>
      <c r="E881" s="457"/>
      <c r="F881" s="443"/>
      <c r="G881" s="26"/>
      <c r="H881" s="26"/>
      <c r="I881" s="26"/>
      <c r="J881" s="26"/>
    </row>
    <row r="882" spans="2:10" ht="15.95" customHeight="1">
      <c r="B882" s="456"/>
      <c r="E882" s="457"/>
      <c r="F882" s="443"/>
      <c r="G882" s="26"/>
      <c r="H882" s="26"/>
      <c r="I882" s="26"/>
      <c r="J882" s="26"/>
    </row>
    <row r="883" spans="2:10" ht="15.95" customHeight="1">
      <c r="B883" s="456"/>
      <c r="E883" s="457"/>
      <c r="F883" s="443"/>
      <c r="G883" s="26"/>
      <c r="H883" s="26"/>
      <c r="I883" s="26"/>
      <c r="J883" s="26"/>
    </row>
    <row r="884" spans="2:10" ht="15.95" customHeight="1">
      <c r="B884" s="456"/>
      <c r="E884" s="457"/>
      <c r="F884" s="443"/>
      <c r="G884" s="26"/>
      <c r="H884" s="26"/>
      <c r="I884" s="26"/>
      <c r="J884" s="26"/>
    </row>
    <row r="885" spans="2:10" ht="15.95" customHeight="1">
      <c r="B885" s="456"/>
      <c r="E885" s="457"/>
      <c r="F885" s="443"/>
      <c r="G885" s="26"/>
      <c r="H885" s="26"/>
      <c r="I885" s="26"/>
      <c r="J885" s="26"/>
    </row>
    <row r="886" spans="2:10" ht="15.95" customHeight="1">
      <c r="B886" s="456"/>
      <c r="E886" s="457"/>
      <c r="F886" s="443"/>
      <c r="G886" s="26"/>
      <c r="H886" s="26"/>
      <c r="I886" s="26"/>
      <c r="J886" s="26"/>
    </row>
    <row r="887" spans="2:10" ht="15.95" customHeight="1">
      <c r="B887" s="456"/>
      <c r="E887" s="457"/>
      <c r="F887" s="443"/>
      <c r="G887" s="26"/>
      <c r="H887" s="26"/>
      <c r="I887" s="26"/>
      <c r="J887" s="26"/>
    </row>
    <row r="888" spans="2:10" ht="15.95" customHeight="1">
      <c r="B888" s="456"/>
      <c r="E888" s="457"/>
      <c r="F888" s="443"/>
      <c r="G888" s="26"/>
      <c r="H888" s="26"/>
      <c r="I888" s="26"/>
      <c r="J888" s="26"/>
    </row>
    <row r="889" spans="2:10" ht="15.95" customHeight="1">
      <c r="B889" s="456"/>
      <c r="E889" s="457"/>
      <c r="F889" s="443"/>
      <c r="G889" s="26"/>
      <c r="H889" s="26"/>
      <c r="I889" s="26"/>
      <c r="J889" s="26"/>
    </row>
    <row r="890" spans="2:10" ht="15.95" customHeight="1">
      <c r="B890" s="456"/>
      <c r="E890" s="457"/>
      <c r="F890" s="443"/>
      <c r="G890" s="26"/>
      <c r="H890" s="26"/>
      <c r="I890" s="26"/>
      <c r="J890" s="26"/>
    </row>
    <row r="891" spans="2:10" ht="15.95" customHeight="1">
      <c r="B891" s="456"/>
      <c r="E891" s="457"/>
      <c r="F891" s="443"/>
      <c r="G891" s="26"/>
      <c r="H891" s="26"/>
      <c r="I891" s="26"/>
      <c r="J891" s="26"/>
    </row>
    <row r="892" spans="2:10" ht="15.95" customHeight="1">
      <c r="B892" s="456"/>
      <c r="E892" s="457"/>
      <c r="F892" s="443"/>
      <c r="G892" s="26"/>
      <c r="H892" s="26"/>
      <c r="I892" s="26"/>
      <c r="J892" s="26"/>
    </row>
    <row r="893" spans="2:10" ht="15.95" customHeight="1">
      <c r="B893" s="456"/>
      <c r="E893" s="457"/>
      <c r="F893" s="443"/>
      <c r="G893" s="26"/>
      <c r="H893" s="26"/>
      <c r="I893" s="26"/>
      <c r="J893" s="26"/>
    </row>
    <row r="894" spans="2:10" ht="15.95" customHeight="1">
      <c r="B894" s="456"/>
      <c r="E894" s="457"/>
      <c r="F894" s="443"/>
      <c r="G894" s="26"/>
      <c r="H894" s="26"/>
      <c r="I894" s="26"/>
      <c r="J894" s="26"/>
    </row>
    <row r="895" spans="2:10" ht="15.95" customHeight="1">
      <c r="B895" s="456"/>
      <c r="E895" s="457"/>
      <c r="F895" s="443"/>
      <c r="G895" s="26"/>
      <c r="H895" s="26"/>
      <c r="I895" s="26"/>
      <c r="J895" s="26"/>
    </row>
    <row r="896" spans="2:10" ht="15.95" customHeight="1">
      <c r="B896" s="456"/>
      <c r="E896" s="457"/>
      <c r="F896" s="443"/>
      <c r="G896" s="26"/>
      <c r="H896" s="26"/>
      <c r="I896" s="26"/>
      <c r="J896" s="26"/>
    </row>
    <row r="897" spans="2:10" ht="15.95" customHeight="1">
      <c r="B897" s="456"/>
      <c r="E897" s="457"/>
      <c r="F897" s="443"/>
      <c r="G897" s="26"/>
      <c r="H897" s="26"/>
      <c r="I897" s="26"/>
      <c r="J897" s="26"/>
    </row>
    <row r="898" spans="2:10" ht="15.95" customHeight="1">
      <c r="B898" s="456"/>
      <c r="E898" s="457"/>
      <c r="F898" s="443"/>
      <c r="G898" s="26"/>
      <c r="H898" s="26"/>
      <c r="I898" s="26"/>
      <c r="J898" s="26"/>
    </row>
    <row r="899" spans="2:10" ht="15.95" customHeight="1">
      <c r="B899" s="456"/>
      <c r="E899" s="457"/>
      <c r="F899" s="443"/>
      <c r="G899" s="26"/>
      <c r="H899" s="26"/>
      <c r="I899" s="26"/>
      <c r="J899" s="26"/>
    </row>
    <row r="900" spans="2:10" ht="15.95" customHeight="1">
      <c r="B900" s="456"/>
      <c r="E900" s="457"/>
      <c r="F900" s="443"/>
      <c r="G900" s="26"/>
      <c r="H900" s="26"/>
      <c r="I900" s="26"/>
      <c r="J900" s="26"/>
    </row>
    <row r="901" spans="2:10" ht="15.95" customHeight="1">
      <c r="B901" s="456"/>
      <c r="E901" s="457"/>
      <c r="F901" s="443"/>
      <c r="G901" s="26"/>
      <c r="H901" s="26"/>
      <c r="I901" s="26"/>
      <c r="J901" s="26"/>
    </row>
    <row r="902" spans="2:10" ht="15.95" customHeight="1">
      <c r="B902" s="456"/>
      <c r="E902" s="457"/>
      <c r="F902" s="443"/>
      <c r="G902" s="26"/>
      <c r="H902" s="26"/>
      <c r="I902" s="26"/>
      <c r="J902" s="26"/>
    </row>
    <row r="903" spans="2:10" ht="15.95" customHeight="1">
      <c r="B903" s="456"/>
      <c r="E903" s="457"/>
      <c r="F903" s="443"/>
      <c r="G903" s="26"/>
      <c r="H903" s="26"/>
      <c r="I903" s="26"/>
      <c r="J903" s="26"/>
    </row>
    <row r="904" spans="2:10" ht="15.95" customHeight="1">
      <c r="B904" s="456"/>
      <c r="E904" s="457"/>
      <c r="F904" s="443"/>
      <c r="G904" s="26"/>
      <c r="H904" s="26"/>
      <c r="I904" s="26"/>
      <c r="J904" s="26"/>
    </row>
    <row r="905" spans="2:10" ht="15.95" customHeight="1">
      <c r="B905" s="456"/>
      <c r="E905" s="457"/>
      <c r="F905" s="443"/>
      <c r="G905" s="26"/>
      <c r="H905" s="26"/>
      <c r="I905" s="26"/>
      <c r="J905" s="26"/>
    </row>
    <row r="906" spans="2:10" ht="15.95" customHeight="1">
      <c r="B906" s="456"/>
      <c r="E906" s="457"/>
      <c r="F906" s="443"/>
      <c r="G906" s="26"/>
      <c r="H906" s="26"/>
      <c r="I906" s="26"/>
      <c r="J906" s="26"/>
    </row>
    <row r="907" spans="2:10" ht="15.95" customHeight="1">
      <c r="B907" s="456"/>
      <c r="E907" s="457"/>
      <c r="F907" s="443"/>
      <c r="G907" s="26"/>
      <c r="H907" s="26"/>
      <c r="I907" s="26"/>
      <c r="J907" s="26"/>
    </row>
    <row r="908" spans="2:10" ht="15.95" customHeight="1">
      <c r="B908" s="456"/>
      <c r="E908" s="457"/>
      <c r="F908" s="443"/>
      <c r="G908" s="26"/>
      <c r="H908" s="26"/>
      <c r="I908" s="26"/>
      <c r="J908" s="26"/>
    </row>
    <row r="909" spans="2:10" ht="15.95" customHeight="1">
      <c r="B909" s="456"/>
      <c r="E909" s="457"/>
      <c r="F909" s="443"/>
      <c r="G909" s="26"/>
      <c r="H909" s="26"/>
      <c r="I909" s="26"/>
      <c r="J909" s="26"/>
    </row>
    <row r="910" spans="2:10" ht="15.95" customHeight="1">
      <c r="B910" s="456"/>
      <c r="E910" s="457"/>
      <c r="F910" s="443"/>
      <c r="G910" s="26"/>
      <c r="H910" s="26"/>
      <c r="I910" s="26"/>
      <c r="J910" s="26"/>
    </row>
    <row r="911" spans="2:10" ht="15.95" customHeight="1">
      <c r="B911" s="456"/>
      <c r="E911" s="457"/>
      <c r="F911" s="443"/>
      <c r="G911" s="26"/>
      <c r="H911" s="26"/>
      <c r="I911" s="26"/>
      <c r="J911" s="26"/>
    </row>
    <row r="912" spans="2:10" ht="15.95" customHeight="1">
      <c r="B912" s="456"/>
      <c r="E912" s="457"/>
      <c r="F912" s="443"/>
      <c r="G912" s="26"/>
      <c r="H912" s="26"/>
      <c r="I912" s="26"/>
      <c r="J912" s="26"/>
    </row>
    <row r="913" spans="2:10" ht="15.95" customHeight="1">
      <c r="B913" s="456"/>
      <c r="E913" s="457"/>
      <c r="F913" s="443"/>
      <c r="G913" s="26"/>
      <c r="H913" s="26"/>
      <c r="I913" s="26"/>
      <c r="J913" s="26"/>
    </row>
    <row r="914" spans="2:10" ht="15.95" customHeight="1">
      <c r="B914" s="456"/>
      <c r="E914" s="457"/>
      <c r="F914" s="443"/>
      <c r="G914" s="26"/>
      <c r="H914" s="26"/>
      <c r="I914" s="26"/>
      <c r="J914" s="26"/>
    </row>
    <row r="915" spans="2:10" ht="15.95" customHeight="1">
      <c r="B915" s="456"/>
      <c r="E915" s="457"/>
      <c r="F915" s="443"/>
      <c r="G915" s="26"/>
      <c r="H915" s="26"/>
      <c r="I915" s="26"/>
      <c r="J915" s="26"/>
    </row>
    <row r="916" spans="2:10" ht="15.95" customHeight="1">
      <c r="B916" s="456"/>
      <c r="E916" s="457"/>
      <c r="F916" s="443"/>
      <c r="G916" s="26"/>
      <c r="H916" s="26"/>
      <c r="I916" s="26"/>
      <c r="J916" s="26"/>
    </row>
    <row r="917" spans="2:10" ht="15.95" customHeight="1">
      <c r="B917" s="456"/>
      <c r="E917" s="457"/>
      <c r="F917" s="443"/>
      <c r="G917" s="26"/>
      <c r="H917" s="26"/>
      <c r="I917" s="26"/>
      <c r="J917" s="26"/>
    </row>
    <row r="918" spans="2:10" ht="15.95" customHeight="1">
      <c r="B918" s="456"/>
      <c r="E918" s="457"/>
      <c r="F918" s="443"/>
      <c r="G918" s="26"/>
      <c r="H918" s="26"/>
      <c r="I918" s="26"/>
      <c r="J918" s="26"/>
    </row>
    <row r="919" spans="2:10" ht="15.95" customHeight="1">
      <c r="B919" s="456"/>
      <c r="E919" s="457"/>
      <c r="F919" s="443"/>
      <c r="G919" s="26"/>
      <c r="H919" s="26"/>
      <c r="I919" s="26"/>
      <c r="J919" s="26"/>
    </row>
    <row r="920" spans="2:10" ht="15.95" customHeight="1">
      <c r="B920" s="456"/>
      <c r="E920" s="457"/>
      <c r="F920" s="443"/>
      <c r="G920" s="26"/>
      <c r="H920" s="26"/>
      <c r="I920" s="26"/>
      <c r="J920" s="26"/>
    </row>
    <row r="921" spans="2:10" ht="15.95" customHeight="1">
      <c r="B921" s="456"/>
      <c r="E921" s="457"/>
      <c r="F921" s="443"/>
      <c r="G921" s="26"/>
      <c r="H921" s="26"/>
      <c r="I921" s="26"/>
      <c r="J921" s="26"/>
    </row>
    <row r="922" spans="2:10" ht="15.95" customHeight="1">
      <c r="B922" s="456"/>
      <c r="E922" s="457"/>
      <c r="F922" s="443"/>
      <c r="G922" s="26"/>
      <c r="H922" s="26"/>
      <c r="I922" s="26"/>
      <c r="J922" s="26"/>
    </row>
    <row r="923" spans="2:10" ht="15.95" customHeight="1">
      <c r="B923" s="456"/>
      <c r="E923" s="457"/>
      <c r="F923" s="443"/>
      <c r="G923" s="26"/>
      <c r="H923" s="26"/>
      <c r="I923" s="26"/>
      <c r="J923" s="26"/>
    </row>
    <row r="924" spans="2:10" ht="15.95" customHeight="1">
      <c r="B924" s="456"/>
      <c r="E924" s="457"/>
      <c r="F924" s="443"/>
      <c r="G924" s="26"/>
      <c r="H924" s="26"/>
      <c r="I924" s="26"/>
      <c r="J924" s="26"/>
    </row>
    <row r="925" spans="2:10" ht="15.95" customHeight="1">
      <c r="B925" s="456"/>
      <c r="E925" s="457"/>
      <c r="F925" s="443"/>
      <c r="G925" s="26"/>
      <c r="H925" s="26"/>
      <c r="I925" s="26"/>
      <c r="J925" s="26"/>
    </row>
    <row r="926" spans="2:10" ht="15.95" customHeight="1">
      <c r="B926" s="456"/>
      <c r="E926" s="457"/>
      <c r="F926" s="443"/>
      <c r="G926" s="26"/>
      <c r="H926" s="26"/>
      <c r="I926" s="26"/>
      <c r="J926" s="26"/>
    </row>
    <row r="927" spans="2:10" ht="15.95" customHeight="1">
      <c r="B927" s="456"/>
      <c r="E927" s="457"/>
      <c r="F927" s="443"/>
      <c r="G927" s="26"/>
      <c r="H927" s="26"/>
      <c r="I927" s="26"/>
      <c r="J927" s="26"/>
    </row>
    <row r="928" spans="2:10" ht="15.95" customHeight="1">
      <c r="B928" s="456"/>
      <c r="E928" s="457"/>
      <c r="F928" s="443"/>
      <c r="G928" s="26"/>
      <c r="H928" s="26"/>
      <c r="I928" s="26"/>
      <c r="J928" s="26"/>
    </row>
    <row r="929" spans="2:10" ht="15.95" customHeight="1">
      <c r="B929" s="456"/>
      <c r="E929" s="457"/>
      <c r="F929" s="443"/>
      <c r="G929" s="26"/>
      <c r="H929" s="26"/>
      <c r="I929" s="26"/>
      <c r="J929" s="26"/>
    </row>
    <row r="930" spans="2:10" ht="15.95" customHeight="1">
      <c r="B930" s="456"/>
      <c r="E930" s="457"/>
      <c r="F930" s="443"/>
      <c r="G930" s="26"/>
      <c r="H930" s="26"/>
      <c r="I930" s="26"/>
      <c r="J930" s="26"/>
    </row>
    <row r="931" spans="2:10" ht="15.95" customHeight="1">
      <c r="B931" s="456"/>
      <c r="E931" s="457"/>
      <c r="F931" s="443"/>
      <c r="G931" s="26"/>
      <c r="H931" s="26"/>
      <c r="I931" s="26"/>
      <c r="J931" s="26"/>
    </row>
    <row r="932" spans="2:10" ht="15.95" customHeight="1">
      <c r="B932" s="456"/>
      <c r="E932" s="457"/>
      <c r="F932" s="443"/>
      <c r="G932" s="26"/>
      <c r="H932" s="26"/>
      <c r="I932" s="26"/>
      <c r="J932" s="26"/>
    </row>
    <row r="933" spans="2:10" ht="15.95" customHeight="1">
      <c r="B933" s="456"/>
      <c r="E933" s="457"/>
      <c r="F933" s="443"/>
      <c r="G933" s="26"/>
      <c r="H933" s="26"/>
      <c r="I933" s="26"/>
      <c r="J933" s="26"/>
    </row>
    <row r="934" spans="2:10" ht="15.95" customHeight="1">
      <c r="B934" s="456"/>
      <c r="E934" s="457"/>
      <c r="F934" s="443"/>
      <c r="G934" s="26"/>
      <c r="H934" s="26"/>
      <c r="I934" s="26"/>
      <c r="J934" s="26"/>
    </row>
    <row r="935" spans="2:10" ht="15.95" customHeight="1">
      <c r="B935" s="456"/>
      <c r="E935" s="457"/>
      <c r="F935" s="443"/>
      <c r="G935" s="26"/>
      <c r="H935" s="26"/>
      <c r="I935" s="26"/>
      <c r="J935" s="26"/>
    </row>
    <row r="936" spans="2:10" ht="15.95" customHeight="1">
      <c r="B936" s="456"/>
      <c r="E936" s="457"/>
      <c r="F936" s="443"/>
      <c r="G936" s="26"/>
      <c r="H936" s="26"/>
      <c r="I936" s="26"/>
      <c r="J936" s="26"/>
    </row>
    <row r="937" spans="2:10" ht="15.95" customHeight="1">
      <c r="B937" s="456"/>
      <c r="E937" s="457"/>
      <c r="F937" s="443"/>
      <c r="G937" s="26"/>
      <c r="H937" s="26"/>
      <c r="I937" s="26"/>
      <c r="J937" s="26"/>
    </row>
    <row r="938" spans="2:10" ht="15.95" customHeight="1">
      <c r="B938" s="456"/>
      <c r="E938" s="457"/>
      <c r="F938" s="443"/>
      <c r="G938" s="26"/>
      <c r="H938" s="26"/>
      <c r="I938" s="26"/>
      <c r="J938" s="26"/>
    </row>
    <row r="939" spans="2:10" ht="15.95" customHeight="1">
      <c r="B939" s="456"/>
      <c r="E939" s="457"/>
      <c r="F939" s="443"/>
      <c r="G939" s="26"/>
      <c r="H939" s="26"/>
      <c r="I939" s="26"/>
      <c r="J939" s="26"/>
    </row>
    <row r="940" spans="2:10" ht="15.95" customHeight="1">
      <c r="B940" s="456"/>
      <c r="E940" s="457"/>
      <c r="F940" s="443"/>
      <c r="G940" s="26"/>
      <c r="H940" s="26"/>
      <c r="I940" s="26"/>
      <c r="J940" s="26"/>
    </row>
    <row r="941" spans="2:10" ht="15.95" customHeight="1">
      <c r="B941" s="456"/>
      <c r="E941" s="457"/>
      <c r="F941" s="443"/>
      <c r="G941" s="26"/>
      <c r="H941" s="26"/>
      <c r="I941" s="26"/>
      <c r="J941" s="26"/>
    </row>
    <row r="942" spans="2:10" ht="15.95" customHeight="1">
      <c r="B942" s="456"/>
      <c r="E942" s="457"/>
      <c r="F942" s="443"/>
      <c r="G942" s="26"/>
      <c r="H942" s="26"/>
      <c r="I942" s="26"/>
      <c r="J942" s="26"/>
    </row>
    <row r="943" spans="2:10" ht="15.95" customHeight="1">
      <c r="B943" s="456"/>
      <c r="E943" s="457"/>
      <c r="F943" s="443"/>
      <c r="G943" s="26"/>
      <c r="H943" s="26"/>
      <c r="I943" s="26"/>
      <c r="J943" s="26"/>
    </row>
    <row r="944" spans="2:10" ht="15.95" customHeight="1">
      <c r="B944" s="456"/>
      <c r="E944" s="457"/>
      <c r="F944" s="443"/>
      <c r="G944" s="26"/>
      <c r="H944" s="26"/>
      <c r="I944" s="26"/>
      <c r="J944" s="26"/>
    </row>
    <row r="945" spans="2:10" ht="15.95" customHeight="1">
      <c r="B945" s="456"/>
      <c r="E945" s="457"/>
      <c r="F945" s="443"/>
      <c r="G945" s="26"/>
      <c r="H945" s="26"/>
      <c r="I945" s="26"/>
      <c r="J945" s="26"/>
    </row>
    <row r="946" spans="2:10" ht="15.95" customHeight="1">
      <c r="B946" s="456"/>
      <c r="E946" s="457"/>
      <c r="F946" s="443"/>
      <c r="G946" s="26"/>
      <c r="H946" s="26"/>
      <c r="I946" s="26"/>
      <c r="J946" s="26"/>
    </row>
    <row r="947" spans="2:10" ht="15.95" customHeight="1">
      <c r="B947" s="456"/>
      <c r="E947" s="457"/>
      <c r="F947" s="443"/>
      <c r="G947" s="26"/>
      <c r="H947" s="26"/>
      <c r="I947" s="26"/>
      <c r="J947" s="26"/>
    </row>
    <row r="948" spans="2:10" ht="15.95" customHeight="1">
      <c r="B948" s="456"/>
      <c r="E948" s="457"/>
      <c r="F948" s="443"/>
      <c r="G948" s="26"/>
      <c r="H948" s="26"/>
      <c r="I948" s="26"/>
      <c r="J948" s="26"/>
    </row>
    <row r="949" spans="2:10" ht="15.95" customHeight="1">
      <c r="B949" s="456"/>
      <c r="E949" s="457"/>
      <c r="F949" s="443"/>
      <c r="G949" s="26"/>
      <c r="H949" s="26"/>
      <c r="I949" s="26"/>
      <c r="J949" s="26"/>
    </row>
    <row r="950" spans="2:10" ht="15.95" customHeight="1">
      <c r="B950" s="456"/>
      <c r="E950" s="457"/>
      <c r="F950" s="443"/>
      <c r="G950" s="26"/>
      <c r="H950" s="26"/>
      <c r="I950" s="26"/>
      <c r="J950" s="26"/>
    </row>
    <row r="951" spans="2:10" ht="15.95" customHeight="1">
      <c r="B951" s="456"/>
      <c r="E951" s="457"/>
      <c r="F951" s="443"/>
      <c r="G951" s="26"/>
      <c r="H951" s="26"/>
      <c r="I951" s="26"/>
      <c r="J951" s="26"/>
    </row>
    <row r="952" spans="2:10" ht="15.95" customHeight="1">
      <c r="B952" s="456"/>
      <c r="E952" s="457"/>
      <c r="F952" s="443"/>
      <c r="G952" s="26"/>
      <c r="H952" s="26"/>
      <c r="I952" s="26"/>
      <c r="J952" s="26"/>
    </row>
    <row r="953" spans="2:10" ht="15.95" customHeight="1">
      <c r="B953" s="456"/>
      <c r="E953" s="457"/>
      <c r="F953" s="443"/>
      <c r="G953" s="26"/>
      <c r="H953" s="26"/>
      <c r="I953" s="26"/>
      <c r="J953" s="26"/>
    </row>
    <row r="954" spans="2:10" ht="15.95" customHeight="1">
      <c r="B954" s="456"/>
      <c r="E954" s="457"/>
      <c r="F954" s="443"/>
      <c r="G954" s="26"/>
      <c r="H954" s="26"/>
      <c r="I954" s="26"/>
      <c r="J954" s="26"/>
    </row>
    <row r="955" spans="2:10" ht="15.95" customHeight="1">
      <c r="B955" s="456"/>
      <c r="E955" s="457"/>
      <c r="F955" s="443"/>
      <c r="G955" s="26"/>
      <c r="H955" s="26"/>
      <c r="I955" s="26"/>
      <c r="J955" s="26"/>
    </row>
    <row r="956" spans="2:10" ht="15.95" customHeight="1">
      <c r="B956" s="456"/>
      <c r="E956" s="457"/>
      <c r="F956" s="443"/>
      <c r="G956" s="26"/>
      <c r="H956" s="26"/>
      <c r="I956" s="26"/>
      <c r="J956" s="26"/>
    </row>
    <row r="957" spans="2:10" ht="15.95" customHeight="1">
      <c r="B957" s="456"/>
      <c r="E957" s="457"/>
      <c r="F957" s="443"/>
      <c r="G957" s="26"/>
      <c r="H957" s="26"/>
      <c r="I957" s="26"/>
      <c r="J957" s="26"/>
    </row>
    <row r="958" spans="2:10" ht="15.95" customHeight="1">
      <c r="B958" s="456"/>
      <c r="E958" s="457"/>
      <c r="F958" s="443"/>
      <c r="G958" s="26"/>
      <c r="H958" s="26"/>
      <c r="I958" s="26"/>
      <c r="J958" s="26"/>
    </row>
    <row r="959" spans="2:10" ht="15.95" customHeight="1">
      <c r="B959" s="456"/>
      <c r="E959" s="457"/>
      <c r="F959" s="443"/>
      <c r="G959" s="26"/>
      <c r="H959" s="26"/>
      <c r="I959" s="26"/>
      <c r="J959" s="26"/>
    </row>
    <row r="960" spans="2:10" ht="15.95" customHeight="1">
      <c r="B960" s="456"/>
      <c r="E960" s="457"/>
      <c r="F960" s="443"/>
      <c r="G960" s="26"/>
      <c r="H960" s="26"/>
      <c r="I960" s="26"/>
      <c r="J960" s="26"/>
    </row>
    <row r="961" spans="2:10" ht="15.95" customHeight="1">
      <c r="B961" s="456"/>
      <c r="E961" s="457"/>
      <c r="F961" s="443"/>
      <c r="G961" s="26"/>
      <c r="H961" s="26"/>
      <c r="I961" s="26"/>
      <c r="J961" s="26"/>
    </row>
    <row r="962" spans="2:10" ht="15.95" customHeight="1">
      <c r="B962" s="456"/>
      <c r="E962" s="457"/>
      <c r="F962" s="443"/>
      <c r="G962" s="26"/>
      <c r="H962" s="26"/>
      <c r="I962" s="26"/>
      <c r="J962" s="26"/>
    </row>
    <row r="963" spans="2:10" ht="15.95" customHeight="1">
      <c r="B963" s="456"/>
      <c r="E963" s="457"/>
      <c r="F963" s="443"/>
      <c r="G963" s="26"/>
      <c r="H963" s="26"/>
      <c r="I963" s="26"/>
      <c r="J963" s="26"/>
    </row>
    <row r="964" spans="2:10" ht="15.95" customHeight="1">
      <c r="B964" s="456"/>
      <c r="E964" s="457"/>
      <c r="F964" s="443"/>
      <c r="G964" s="26"/>
      <c r="H964" s="26"/>
      <c r="I964" s="26"/>
      <c r="J964" s="26"/>
    </row>
    <row r="965" spans="2:10" ht="15.95" customHeight="1">
      <c r="B965" s="456"/>
      <c r="E965" s="457"/>
      <c r="F965" s="443"/>
      <c r="G965" s="26"/>
      <c r="H965" s="26"/>
      <c r="I965" s="26"/>
      <c r="J965" s="26"/>
    </row>
    <row r="966" spans="2:10" ht="15.95" customHeight="1">
      <c r="B966" s="456"/>
      <c r="E966" s="457"/>
      <c r="F966" s="443"/>
      <c r="G966" s="26"/>
      <c r="H966" s="26"/>
      <c r="I966" s="26"/>
      <c r="J966" s="26"/>
    </row>
    <row r="967" spans="2:10" ht="15.95" customHeight="1">
      <c r="B967" s="456"/>
      <c r="E967" s="457"/>
      <c r="F967" s="443"/>
      <c r="G967" s="26"/>
      <c r="H967" s="26"/>
      <c r="I967" s="26"/>
      <c r="J967" s="26"/>
    </row>
    <row r="968" spans="2:10" ht="15.95" customHeight="1">
      <c r="B968" s="456"/>
      <c r="E968" s="457"/>
      <c r="F968" s="443"/>
      <c r="G968" s="26"/>
      <c r="H968" s="26"/>
      <c r="I968" s="26"/>
      <c r="J968" s="26"/>
    </row>
    <row r="969" spans="2:10" ht="15.95" customHeight="1">
      <c r="B969" s="456"/>
      <c r="E969" s="457"/>
      <c r="F969" s="443"/>
      <c r="G969" s="26"/>
      <c r="H969" s="26"/>
      <c r="I969" s="26"/>
      <c r="J969" s="26"/>
    </row>
    <row r="970" spans="2:10" ht="15.95" customHeight="1">
      <c r="B970" s="456"/>
      <c r="E970" s="457"/>
      <c r="F970" s="443"/>
      <c r="G970" s="26"/>
      <c r="H970" s="26"/>
      <c r="I970" s="26"/>
      <c r="J970" s="26"/>
    </row>
    <row r="971" spans="2:10" ht="15.95" customHeight="1">
      <c r="B971" s="456"/>
      <c r="E971" s="457"/>
      <c r="F971" s="443"/>
      <c r="G971" s="26"/>
      <c r="H971" s="26"/>
      <c r="I971" s="26"/>
      <c r="J971" s="26"/>
    </row>
    <row r="972" spans="2:10" ht="15.95" customHeight="1">
      <c r="B972" s="456"/>
      <c r="E972" s="457"/>
      <c r="F972" s="443"/>
      <c r="G972" s="26"/>
      <c r="H972" s="26"/>
      <c r="I972" s="26"/>
      <c r="J972" s="26"/>
    </row>
    <row r="973" spans="2:10" ht="15.95" customHeight="1">
      <c r="B973" s="456"/>
      <c r="E973" s="457"/>
      <c r="F973" s="443"/>
      <c r="G973" s="26"/>
      <c r="H973" s="26"/>
      <c r="I973" s="26"/>
      <c r="J973" s="26"/>
    </row>
    <row r="974" spans="2:10" ht="15.95" customHeight="1">
      <c r="B974" s="456"/>
      <c r="E974" s="457"/>
      <c r="F974" s="443"/>
      <c r="G974" s="26"/>
      <c r="H974" s="26"/>
      <c r="I974" s="26"/>
      <c r="J974" s="26"/>
    </row>
    <row r="975" spans="2:10" ht="15.95" customHeight="1">
      <c r="B975" s="456"/>
      <c r="E975" s="457"/>
      <c r="F975" s="443"/>
      <c r="G975" s="26"/>
      <c r="H975" s="26"/>
      <c r="I975" s="26"/>
      <c r="J975" s="26"/>
    </row>
    <row r="976" spans="2:10" ht="15.95" customHeight="1">
      <c r="B976" s="456"/>
      <c r="E976" s="457"/>
      <c r="F976" s="443"/>
      <c r="G976" s="26"/>
      <c r="H976" s="26"/>
      <c r="I976" s="26"/>
      <c r="J976" s="26"/>
    </row>
    <row r="977" spans="2:10" ht="15.95" customHeight="1">
      <c r="B977" s="456"/>
      <c r="E977" s="457"/>
      <c r="F977" s="443"/>
      <c r="G977" s="26"/>
      <c r="H977" s="26"/>
      <c r="I977" s="26"/>
      <c r="J977" s="26"/>
    </row>
    <row r="978" spans="2:10" ht="15.95" customHeight="1">
      <c r="B978" s="456"/>
      <c r="E978" s="457"/>
      <c r="F978" s="443"/>
      <c r="G978" s="26"/>
      <c r="H978" s="26"/>
      <c r="I978" s="26"/>
      <c r="J978" s="26"/>
    </row>
    <row r="979" spans="2:10" ht="15.95" customHeight="1">
      <c r="B979" s="456"/>
      <c r="E979" s="457"/>
      <c r="F979" s="443"/>
      <c r="G979" s="26"/>
      <c r="H979" s="26"/>
      <c r="I979" s="26"/>
      <c r="J979" s="26"/>
    </row>
    <row r="980" spans="2:10" ht="15.95" customHeight="1">
      <c r="B980" s="456"/>
      <c r="E980" s="457"/>
      <c r="F980" s="443"/>
      <c r="G980" s="26"/>
      <c r="H980" s="26"/>
      <c r="I980" s="26"/>
      <c r="J980" s="26"/>
    </row>
    <row r="981" spans="2:10" ht="15.95" customHeight="1">
      <c r="B981" s="456"/>
      <c r="E981" s="457"/>
      <c r="F981" s="443"/>
      <c r="G981" s="26"/>
      <c r="H981" s="26"/>
      <c r="I981" s="26"/>
      <c r="J981" s="26"/>
    </row>
    <row r="982" spans="2:10" ht="15.95" customHeight="1">
      <c r="B982" s="456"/>
      <c r="E982" s="457"/>
      <c r="F982" s="443"/>
      <c r="G982" s="26"/>
      <c r="H982" s="26"/>
      <c r="I982" s="26"/>
      <c r="J982" s="26"/>
    </row>
    <row r="983" spans="2:10" ht="15.95" customHeight="1">
      <c r="B983" s="456"/>
      <c r="E983" s="457"/>
      <c r="F983" s="443"/>
      <c r="G983" s="26"/>
      <c r="H983" s="26"/>
      <c r="I983" s="26"/>
      <c r="J983" s="26"/>
    </row>
    <row r="984" spans="2:10" ht="15.95" customHeight="1">
      <c r="B984" s="456"/>
      <c r="E984" s="457"/>
      <c r="F984" s="443"/>
      <c r="G984" s="26"/>
      <c r="H984" s="26"/>
      <c r="I984" s="26"/>
      <c r="J984" s="26"/>
    </row>
    <row r="985" spans="2:10" ht="15.95" customHeight="1">
      <c r="B985" s="456"/>
      <c r="E985" s="457"/>
      <c r="F985" s="443"/>
      <c r="G985" s="26"/>
      <c r="H985" s="26"/>
      <c r="I985" s="26"/>
      <c r="J985" s="26"/>
    </row>
    <row r="986" spans="2:10" ht="15.95" customHeight="1">
      <c r="B986" s="456"/>
      <c r="E986" s="457"/>
      <c r="F986" s="443"/>
      <c r="G986" s="26"/>
      <c r="H986" s="26"/>
      <c r="I986" s="26"/>
      <c r="J986" s="26"/>
    </row>
    <row r="987" spans="2:10" ht="15.95" customHeight="1">
      <c r="B987" s="456"/>
      <c r="E987" s="457"/>
      <c r="F987" s="443"/>
      <c r="G987" s="26"/>
      <c r="H987" s="26"/>
      <c r="I987" s="26"/>
      <c r="J987" s="26"/>
    </row>
    <row r="988" spans="2:10" ht="15.95" customHeight="1">
      <c r="B988" s="456"/>
      <c r="E988" s="457"/>
      <c r="F988" s="443"/>
      <c r="G988" s="26"/>
      <c r="H988" s="26"/>
      <c r="I988" s="26"/>
      <c r="J988" s="26"/>
    </row>
    <row r="989" spans="2:10" ht="15.95" customHeight="1">
      <c r="B989" s="456"/>
      <c r="E989" s="457"/>
      <c r="F989" s="443"/>
      <c r="G989" s="26"/>
      <c r="H989" s="26"/>
      <c r="I989" s="26"/>
      <c r="J989" s="26"/>
    </row>
    <row r="990" spans="2:10" ht="15.95" customHeight="1">
      <c r="B990" s="456"/>
      <c r="E990" s="457"/>
      <c r="F990" s="443"/>
      <c r="G990" s="26"/>
      <c r="H990" s="26"/>
      <c r="I990" s="26"/>
      <c r="J990" s="26"/>
    </row>
    <row r="991" spans="2:10" ht="15.95" customHeight="1">
      <c r="B991" s="456"/>
      <c r="E991" s="457"/>
      <c r="F991" s="443"/>
      <c r="G991" s="26"/>
      <c r="H991" s="26"/>
      <c r="I991" s="26"/>
      <c r="J991" s="26"/>
    </row>
    <row r="992" spans="2:10" ht="15.95" customHeight="1">
      <c r="B992" s="456"/>
      <c r="E992" s="457"/>
      <c r="F992" s="443"/>
      <c r="G992" s="26"/>
      <c r="H992" s="26"/>
      <c r="I992" s="26"/>
      <c r="J992" s="26"/>
    </row>
    <row r="993" spans="2:10" ht="15.95" customHeight="1">
      <c r="B993" s="456"/>
      <c r="E993" s="457"/>
      <c r="F993" s="443"/>
      <c r="G993" s="26"/>
      <c r="H993" s="26"/>
      <c r="I993" s="26"/>
      <c r="J993" s="26"/>
    </row>
    <row r="994" spans="2:10" ht="15.95" customHeight="1">
      <c r="B994" s="456"/>
      <c r="E994" s="457"/>
      <c r="F994" s="443"/>
      <c r="G994" s="26"/>
      <c r="H994" s="26"/>
      <c r="I994" s="26"/>
      <c r="J994" s="26"/>
    </row>
    <row r="995" spans="2:10" ht="15.95" customHeight="1">
      <c r="B995" s="456"/>
      <c r="E995" s="457"/>
      <c r="F995" s="443"/>
      <c r="G995" s="26"/>
      <c r="H995" s="26"/>
      <c r="I995" s="26"/>
      <c r="J995" s="26"/>
    </row>
    <row r="996" spans="2:10" ht="15.95" customHeight="1">
      <c r="B996" s="456"/>
      <c r="E996" s="457"/>
      <c r="F996" s="443"/>
      <c r="G996" s="26"/>
      <c r="H996" s="26"/>
      <c r="I996" s="26"/>
      <c r="J996" s="26"/>
    </row>
    <row r="997" spans="2:10" ht="15.95" customHeight="1">
      <c r="B997" s="456"/>
      <c r="E997" s="457"/>
      <c r="F997" s="443"/>
      <c r="G997" s="26"/>
      <c r="H997" s="26"/>
      <c r="I997" s="26"/>
      <c r="J997" s="26"/>
    </row>
    <row r="998" spans="2:10" ht="15.95" customHeight="1">
      <c r="B998" s="456"/>
      <c r="E998" s="457"/>
      <c r="F998" s="443"/>
      <c r="G998" s="26"/>
      <c r="H998" s="26"/>
      <c r="I998" s="26"/>
      <c r="J998" s="26"/>
    </row>
    <row r="999" spans="2:10" ht="15.95" customHeight="1">
      <c r="B999" s="456"/>
      <c r="E999" s="457"/>
      <c r="F999" s="443"/>
      <c r="G999" s="26"/>
      <c r="H999" s="26"/>
      <c r="I999" s="26"/>
      <c r="J999" s="26"/>
    </row>
    <row r="1000" spans="2:10" ht="15.95" customHeight="1">
      <c r="B1000" s="456"/>
      <c r="E1000" s="457"/>
      <c r="F1000" s="443"/>
      <c r="G1000" s="26"/>
      <c r="H1000" s="26"/>
      <c r="I1000" s="26"/>
      <c r="J1000" s="26"/>
    </row>
    <row r="1001" spans="2:10" ht="15.95" customHeight="1">
      <c r="B1001" s="456"/>
      <c r="E1001" s="457"/>
      <c r="F1001" s="443"/>
      <c r="G1001" s="26"/>
      <c r="H1001" s="26"/>
      <c r="I1001" s="26"/>
      <c r="J1001" s="26"/>
    </row>
    <row r="1002" spans="2:10" ht="15.95" customHeight="1">
      <c r="B1002" s="456"/>
      <c r="E1002" s="457"/>
      <c r="F1002" s="443"/>
      <c r="G1002" s="26"/>
      <c r="H1002" s="26"/>
      <c r="I1002" s="26"/>
      <c r="J1002" s="26"/>
    </row>
    <row r="1003" spans="2:10" ht="15.95" customHeight="1">
      <c r="B1003" s="456"/>
      <c r="E1003" s="457"/>
      <c r="F1003" s="443"/>
      <c r="G1003" s="26"/>
      <c r="H1003" s="26"/>
      <c r="I1003" s="26"/>
      <c r="J1003" s="26"/>
    </row>
    <row r="1004" spans="2:10" ht="15.95" customHeight="1">
      <c r="B1004" s="456"/>
      <c r="E1004" s="457"/>
      <c r="F1004" s="443"/>
      <c r="G1004" s="26"/>
      <c r="H1004" s="26"/>
      <c r="I1004" s="26"/>
      <c r="J1004" s="26"/>
    </row>
    <row r="1005" spans="2:10" ht="15.95" customHeight="1">
      <c r="B1005" s="456"/>
      <c r="E1005" s="457"/>
      <c r="F1005" s="443"/>
      <c r="G1005" s="26"/>
      <c r="H1005" s="26"/>
      <c r="I1005" s="26"/>
      <c r="J1005" s="26"/>
    </row>
    <row r="1006" spans="2:10" ht="15.95" customHeight="1">
      <c r="B1006" s="456"/>
      <c r="E1006" s="457"/>
      <c r="F1006" s="443"/>
      <c r="G1006" s="26"/>
      <c r="H1006" s="26"/>
      <c r="I1006" s="26"/>
      <c r="J1006" s="26"/>
    </row>
    <row r="1007" spans="2:10" ht="15.95" customHeight="1">
      <c r="B1007" s="456"/>
      <c r="E1007" s="457"/>
      <c r="F1007" s="443"/>
      <c r="G1007" s="26"/>
      <c r="H1007" s="26"/>
      <c r="I1007" s="26"/>
      <c r="J1007" s="26"/>
    </row>
    <row r="1008" spans="2:10" ht="15.95" customHeight="1">
      <c r="B1008" s="456"/>
      <c r="E1008" s="457"/>
      <c r="F1008" s="443"/>
      <c r="G1008" s="26"/>
      <c r="H1008" s="26"/>
      <c r="I1008" s="26"/>
      <c r="J1008" s="26"/>
    </row>
    <row r="1009" spans="2:10" ht="15.95" customHeight="1">
      <c r="B1009" s="456"/>
      <c r="E1009" s="457"/>
      <c r="F1009" s="443"/>
      <c r="G1009" s="26"/>
      <c r="H1009" s="26"/>
      <c r="I1009" s="26"/>
      <c r="J1009" s="26"/>
    </row>
    <row r="1010" spans="2:10" ht="15.95" customHeight="1">
      <c r="B1010" s="456"/>
      <c r="E1010" s="457"/>
      <c r="F1010" s="443"/>
      <c r="G1010" s="26"/>
      <c r="H1010" s="26"/>
      <c r="I1010" s="26"/>
      <c r="J1010" s="26"/>
    </row>
    <row r="1011" spans="2:10" ht="15.95" customHeight="1">
      <c r="B1011" s="456"/>
      <c r="E1011" s="457"/>
      <c r="F1011" s="443"/>
      <c r="G1011" s="26"/>
      <c r="H1011" s="26"/>
      <c r="I1011" s="26"/>
      <c r="J1011" s="26"/>
    </row>
    <row r="1012" spans="2:10" ht="15.95" customHeight="1">
      <c r="B1012" s="456"/>
      <c r="E1012" s="457"/>
      <c r="F1012" s="443"/>
      <c r="G1012" s="26"/>
      <c r="H1012" s="26"/>
      <c r="I1012" s="26"/>
      <c r="J1012" s="26"/>
    </row>
    <row r="1013" spans="2:10" ht="15.95" customHeight="1">
      <c r="B1013" s="456"/>
      <c r="E1013" s="457"/>
      <c r="F1013" s="443"/>
      <c r="G1013" s="26"/>
      <c r="H1013" s="26"/>
      <c r="I1013" s="26"/>
      <c r="J1013" s="26"/>
    </row>
    <row r="1014" spans="2:10" ht="15.95" customHeight="1">
      <c r="B1014" s="456"/>
      <c r="E1014" s="457"/>
      <c r="F1014" s="443"/>
      <c r="G1014" s="26"/>
      <c r="H1014" s="26"/>
      <c r="I1014" s="26"/>
      <c r="J1014" s="26"/>
    </row>
    <row r="1015" spans="2:10" ht="15.95" customHeight="1">
      <c r="B1015" s="456"/>
      <c r="E1015" s="457"/>
      <c r="F1015" s="443"/>
      <c r="G1015" s="26"/>
      <c r="H1015" s="26"/>
      <c r="I1015" s="26"/>
      <c r="J1015" s="26"/>
    </row>
    <row r="1016" spans="2:10" ht="15.95" customHeight="1">
      <c r="B1016" s="456"/>
      <c r="E1016" s="457"/>
      <c r="F1016" s="443"/>
      <c r="G1016" s="26"/>
      <c r="H1016" s="26"/>
      <c r="I1016" s="26"/>
      <c r="J1016" s="26"/>
    </row>
    <row r="1017" spans="2:10" ht="15.95" customHeight="1">
      <c r="B1017" s="456"/>
      <c r="E1017" s="457"/>
      <c r="F1017" s="443"/>
      <c r="G1017" s="26"/>
      <c r="H1017" s="26"/>
      <c r="I1017" s="26"/>
      <c r="J1017" s="26"/>
    </row>
    <row r="1018" spans="2:10" ht="15.95" customHeight="1">
      <c r="B1018" s="456"/>
      <c r="E1018" s="457"/>
      <c r="F1018" s="443"/>
      <c r="G1018" s="26"/>
      <c r="H1018" s="26"/>
      <c r="I1018" s="26"/>
      <c r="J1018" s="26"/>
    </row>
    <row r="1019" spans="2:10" ht="15.95" customHeight="1">
      <c r="B1019" s="456"/>
      <c r="E1019" s="457"/>
      <c r="F1019" s="443"/>
      <c r="G1019" s="26"/>
      <c r="H1019" s="26"/>
      <c r="I1019" s="26"/>
      <c r="J1019" s="26"/>
    </row>
    <row r="1020" spans="2:10" ht="15.95" customHeight="1">
      <c r="B1020" s="456"/>
      <c r="E1020" s="457"/>
      <c r="F1020" s="443"/>
      <c r="G1020" s="26"/>
      <c r="H1020" s="26"/>
      <c r="I1020" s="26"/>
      <c r="J1020" s="26"/>
    </row>
    <row r="1021" spans="2:10" ht="15.95" customHeight="1">
      <c r="B1021" s="456"/>
      <c r="E1021" s="457"/>
      <c r="F1021" s="443"/>
      <c r="G1021" s="26"/>
      <c r="H1021" s="26"/>
      <c r="I1021" s="26"/>
      <c r="J1021" s="26"/>
    </row>
    <row r="1022" spans="2:10" ht="15.95" customHeight="1">
      <c r="B1022" s="456"/>
      <c r="E1022" s="457"/>
      <c r="F1022" s="443"/>
      <c r="G1022" s="26"/>
      <c r="H1022" s="26"/>
      <c r="I1022" s="26"/>
      <c r="J1022" s="26"/>
    </row>
    <row r="1023" spans="2:10" ht="15.95" customHeight="1">
      <c r="B1023" s="456"/>
      <c r="E1023" s="457"/>
      <c r="F1023" s="443"/>
      <c r="G1023" s="26"/>
      <c r="H1023" s="26"/>
      <c r="I1023" s="26"/>
      <c r="J1023" s="26"/>
    </row>
    <row r="1024" spans="2:10" ht="15.95" customHeight="1">
      <c r="B1024" s="456"/>
      <c r="E1024" s="457"/>
      <c r="F1024" s="443"/>
      <c r="G1024" s="26"/>
      <c r="H1024" s="26"/>
      <c r="I1024" s="26"/>
      <c r="J1024" s="26"/>
    </row>
    <row r="1025" spans="2:10" ht="15.95" customHeight="1">
      <c r="B1025" s="456"/>
      <c r="E1025" s="457"/>
      <c r="F1025" s="443"/>
      <c r="G1025" s="26"/>
      <c r="H1025" s="26"/>
      <c r="I1025" s="26"/>
      <c r="J1025" s="26"/>
    </row>
    <row r="1026" spans="2:10" ht="15.95" customHeight="1">
      <c r="B1026" s="456"/>
      <c r="E1026" s="457"/>
      <c r="F1026" s="443"/>
      <c r="G1026" s="26"/>
      <c r="H1026" s="26"/>
      <c r="I1026" s="26"/>
      <c r="J1026" s="26"/>
    </row>
    <row r="1027" spans="2:10" ht="15.95" customHeight="1">
      <c r="B1027" s="456"/>
      <c r="E1027" s="457"/>
      <c r="F1027" s="443"/>
      <c r="G1027" s="26"/>
      <c r="H1027" s="26"/>
      <c r="I1027" s="26"/>
      <c r="J1027" s="26"/>
    </row>
    <row r="1028" spans="2:10" ht="15.95" customHeight="1">
      <c r="B1028" s="456"/>
      <c r="E1028" s="457"/>
      <c r="F1028" s="443"/>
      <c r="G1028" s="26"/>
      <c r="H1028" s="26"/>
      <c r="I1028" s="26"/>
      <c r="J1028" s="26"/>
    </row>
    <row r="1029" spans="2:10" ht="15.95" customHeight="1">
      <c r="B1029" s="456"/>
      <c r="E1029" s="457"/>
      <c r="F1029" s="443"/>
      <c r="G1029" s="26"/>
      <c r="H1029" s="26"/>
      <c r="I1029" s="26"/>
      <c r="J1029" s="26"/>
    </row>
    <row r="1030" spans="2:10" ht="15.95" customHeight="1">
      <c r="B1030" s="456"/>
      <c r="E1030" s="457"/>
      <c r="F1030" s="443"/>
      <c r="G1030" s="26"/>
      <c r="H1030" s="26"/>
      <c r="I1030" s="26"/>
      <c r="J1030" s="26"/>
    </row>
    <row r="1031" spans="2:10" ht="15.95" customHeight="1">
      <c r="B1031" s="456"/>
      <c r="E1031" s="457"/>
      <c r="F1031" s="443"/>
      <c r="G1031" s="26"/>
      <c r="H1031" s="26"/>
      <c r="I1031" s="26"/>
      <c r="J1031" s="26"/>
    </row>
    <row r="1032" spans="2:10" ht="15.95" customHeight="1">
      <c r="B1032" s="456"/>
      <c r="E1032" s="457"/>
      <c r="F1032" s="443"/>
      <c r="G1032" s="26"/>
      <c r="H1032" s="26"/>
      <c r="I1032" s="26"/>
      <c r="J1032" s="26"/>
    </row>
    <row r="1033" spans="2:10" ht="15.95" customHeight="1">
      <c r="B1033" s="456"/>
      <c r="E1033" s="457"/>
      <c r="F1033" s="443"/>
      <c r="G1033" s="26"/>
      <c r="H1033" s="26"/>
      <c r="I1033" s="26"/>
      <c r="J1033" s="26"/>
    </row>
    <row r="1034" spans="2:10" ht="15.95" customHeight="1">
      <c r="B1034" s="456"/>
      <c r="E1034" s="457"/>
      <c r="F1034" s="443"/>
      <c r="G1034" s="26"/>
      <c r="H1034" s="26"/>
      <c r="I1034" s="26"/>
      <c r="J1034" s="26"/>
    </row>
    <row r="1035" spans="2:10" ht="15.95" customHeight="1">
      <c r="B1035" s="456"/>
      <c r="E1035" s="457"/>
      <c r="F1035" s="443"/>
      <c r="G1035" s="26"/>
      <c r="H1035" s="26"/>
      <c r="I1035" s="26"/>
      <c r="J1035" s="26"/>
    </row>
    <row r="1036" spans="2:10" ht="15.95" customHeight="1">
      <c r="B1036" s="456"/>
      <c r="E1036" s="457"/>
      <c r="F1036" s="443"/>
      <c r="G1036" s="26"/>
      <c r="H1036" s="26"/>
      <c r="I1036" s="26"/>
      <c r="J1036" s="26"/>
    </row>
    <row r="1037" spans="2:10" ht="15.95" customHeight="1">
      <c r="B1037" s="456"/>
      <c r="E1037" s="457"/>
      <c r="F1037" s="443"/>
      <c r="G1037" s="26"/>
      <c r="H1037" s="26"/>
      <c r="I1037" s="26"/>
      <c r="J1037" s="26"/>
    </row>
    <row r="1038" spans="2:10" ht="15.95" customHeight="1">
      <c r="B1038" s="456"/>
      <c r="E1038" s="457"/>
      <c r="F1038" s="443"/>
      <c r="G1038" s="26"/>
      <c r="H1038" s="26"/>
      <c r="I1038" s="26"/>
      <c r="J1038" s="26"/>
    </row>
    <row r="1039" spans="2:10" ht="15.95" customHeight="1">
      <c r="B1039" s="456"/>
      <c r="E1039" s="457"/>
      <c r="F1039" s="443"/>
      <c r="G1039" s="26"/>
      <c r="H1039" s="26"/>
      <c r="I1039" s="26"/>
      <c r="J1039" s="26"/>
    </row>
    <row r="1040" spans="2:10" ht="15.95" customHeight="1">
      <c r="B1040" s="456"/>
      <c r="E1040" s="457"/>
      <c r="F1040" s="443"/>
      <c r="G1040" s="26"/>
      <c r="H1040" s="26"/>
      <c r="I1040" s="26"/>
      <c r="J1040" s="26"/>
    </row>
    <row r="1041" spans="2:10" ht="15.95" customHeight="1">
      <c r="B1041" s="456"/>
      <c r="E1041" s="457"/>
      <c r="F1041" s="443"/>
      <c r="G1041" s="26"/>
      <c r="H1041" s="26"/>
      <c r="I1041" s="26"/>
      <c r="J1041" s="26"/>
    </row>
    <row r="1042" spans="2:10" ht="15.95" customHeight="1">
      <c r="B1042" s="456"/>
      <c r="E1042" s="457"/>
      <c r="F1042" s="443"/>
      <c r="G1042" s="26"/>
      <c r="H1042" s="26"/>
      <c r="I1042" s="26"/>
      <c r="J1042" s="26"/>
    </row>
    <row r="1043" spans="2:10" ht="15.95" customHeight="1">
      <c r="B1043" s="456"/>
      <c r="E1043" s="457"/>
      <c r="F1043" s="443"/>
      <c r="G1043" s="26"/>
      <c r="H1043" s="26"/>
      <c r="I1043" s="26"/>
      <c r="J1043" s="26"/>
    </row>
    <row r="1044" spans="2:10" ht="15.95" customHeight="1">
      <c r="B1044" s="456"/>
      <c r="E1044" s="457"/>
      <c r="F1044" s="443"/>
      <c r="G1044" s="26"/>
      <c r="H1044" s="26"/>
      <c r="I1044" s="26"/>
      <c r="J1044" s="26"/>
    </row>
    <row r="1045" spans="2:10" ht="15.95" customHeight="1">
      <c r="B1045" s="456"/>
      <c r="E1045" s="457"/>
      <c r="F1045" s="443"/>
      <c r="G1045" s="26"/>
      <c r="H1045" s="26"/>
      <c r="I1045" s="26"/>
      <c r="J1045" s="26"/>
    </row>
    <row r="1046" spans="2:10" ht="15.95" customHeight="1">
      <c r="B1046" s="456"/>
      <c r="E1046" s="457"/>
      <c r="F1046" s="443"/>
      <c r="G1046" s="26"/>
      <c r="H1046" s="26"/>
      <c r="I1046" s="26"/>
      <c r="J1046" s="26"/>
    </row>
    <row r="1047" spans="2:10" ht="15.95" customHeight="1">
      <c r="B1047" s="456"/>
      <c r="E1047" s="457"/>
      <c r="F1047" s="443"/>
      <c r="G1047" s="26"/>
      <c r="H1047" s="26"/>
      <c r="I1047" s="26"/>
      <c r="J1047" s="26"/>
    </row>
    <row r="1048" spans="2:10" ht="15.95" customHeight="1">
      <c r="B1048" s="456"/>
      <c r="E1048" s="457"/>
      <c r="F1048" s="443"/>
      <c r="G1048" s="26"/>
      <c r="H1048" s="26"/>
      <c r="I1048" s="26"/>
      <c r="J1048" s="26"/>
    </row>
    <row r="1049" spans="2:10" ht="15.95" customHeight="1">
      <c r="B1049" s="456"/>
      <c r="E1049" s="457"/>
      <c r="F1049" s="443"/>
      <c r="G1049" s="26"/>
      <c r="H1049" s="26"/>
      <c r="I1049" s="26"/>
      <c r="J1049" s="26"/>
    </row>
    <row r="1050" spans="2:10" ht="15.95" customHeight="1">
      <c r="B1050" s="456"/>
      <c r="E1050" s="457"/>
      <c r="F1050" s="443"/>
      <c r="G1050" s="26"/>
      <c r="H1050" s="26"/>
      <c r="I1050" s="26"/>
      <c r="J1050" s="26"/>
    </row>
    <row r="1051" spans="2:10" ht="15.95" customHeight="1">
      <c r="B1051" s="456"/>
      <c r="E1051" s="457"/>
      <c r="F1051" s="443"/>
      <c r="G1051" s="26"/>
      <c r="H1051" s="26"/>
      <c r="I1051" s="26"/>
      <c r="J1051" s="26"/>
    </row>
    <row r="1052" spans="2:10" ht="15.95" customHeight="1">
      <c r="B1052" s="456"/>
      <c r="E1052" s="457"/>
      <c r="F1052" s="443"/>
      <c r="G1052" s="26"/>
      <c r="H1052" s="26"/>
      <c r="I1052" s="26"/>
      <c r="J1052" s="26"/>
    </row>
    <row r="1053" spans="2:10" ht="15.95" customHeight="1">
      <c r="B1053" s="456"/>
      <c r="E1053" s="457"/>
      <c r="F1053" s="443"/>
      <c r="G1053" s="26"/>
      <c r="H1053" s="26"/>
      <c r="I1053" s="26"/>
      <c r="J1053" s="26"/>
    </row>
    <row r="1054" spans="2:10" ht="15.95" customHeight="1">
      <c r="B1054" s="456"/>
      <c r="E1054" s="457"/>
      <c r="F1054" s="443"/>
      <c r="G1054" s="26"/>
      <c r="H1054" s="26"/>
      <c r="I1054" s="26"/>
      <c r="J1054" s="26"/>
    </row>
    <row r="1055" spans="2:10" ht="15.95" customHeight="1">
      <c r="B1055" s="456"/>
      <c r="E1055" s="457"/>
      <c r="F1055" s="443"/>
      <c r="G1055" s="26"/>
      <c r="H1055" s="26"/>
      <c r="I1055" s="26"/>
      <c r="J1055" s="26"/>
    </row>
    <row r="1056" spans="2:10" ht="15.95" customHeight="1">
      <c r="B1056" s="456"/>
      <c r="E1056" s="457"/>
      <c r="F1056" s="443"/>
      <c r="G1056" s="26"/>
      <c r="H1056" s="26"/>
      <c r="I1056" s="26"/>
      <c r="J1056" s="26"/>
    </row>
    <row r="1057" spans="2:10" ht="15.95" customHeight="1">
      <c r="B1057" s="456"/>
      <c r="E1057" s="457"/>
      <c r="F1057" s="443"/>
      <c r="G1057" s="26"/>
      <c r="H1057" s="26"/>
      <c r="I1057" s="26"/>
      <c r="J1057" s="26"/>
    </row>
    <row r="1058" spans="2:10" ht="15.95" customHeight="1">
      <c r="B1058" s="456"/>
      <c r="E1058" s="457"/>
      <c r="F1058" s="443"/>
      <c r="G1058" s="26"/>
      <c r="H1058" s="26"/>
      <c r="I1058" s="26"/>
      <c r="J1058" s="26"/>
    </row>
    <row r="1059" spans="2:10" ht="15.95" customHeight="1">
      <c r="B1059" s="456"/>
      <c r="E1059" s="457"/>
      <c r="F1059" s="443"/>
      <c r="G1059" s="26"/>
      <c r="H1059" s="26"/>
      <c r="I1059" s="26"/>
      <c r="J1059" s="26"/>
    </row>
    <row r="1060" spans="2:10" ht="15.95" customHeight="1">
      <c r="B1060" s="456"/>
      <c r="E1060" s="457"/>
      <c r="F1060" s="443"/>
      <c r="G1060" s="26"/>
      <c r="H1060" s="26"/>
      <c r="I1060" s="26"/>
      <c r="J1060" s="26"/>
    </row>
    <row r="1061" spans="2:10" ht="15.95" customHeight="1">
      <c r="B1061" s="456"/>
      <c r="E1061" s="457"/>
      <c r="F1061" s="443"/>
      <c r="G1061" s="26"/>
      <c r="H1061" s="26"/>
      <c r="I1061" s="26"/>
      <c r="J1061" s="26"/>
    </row>
    <row r="1062" spans="2:10" ht="15.95" customHeight="1">
      <c r="B1062" s="456"/>
      <c r="E1062" s="457"/>
      <c r="F1062" s="443"/>
      <c r="G1062" s="26"/>
      <c r="H1062" s="26"/>
      <c r="I1062" s="26"/>
      <c r="J1062" s="26"/>
    </row>
    <row r="1063" spans="2:10" ht="15.95" customHeight="1">
      <c r="B1063" s="456"/>
      <c r="E1063" s="457"/>
      <c r="F1063" s="443"/>
      <c r="G1063" s="26"/>
      <c r="H1063" s="26"/>
      <c r="I1063" s="26"/>
      <c r="J1063" s="26"/>
    </row>
    <row r="1064" spans="2:10" ht="15.95" customHeight="1">
      <c r="B1064" s="456"/>
      <c r="E1064" s="457"/>
      <c r="F1064" s="443"/>
      <c r="G1064" s="26"/>
      <c r="H1064" s="26"/>
      <c r="I1064" s="26"/>
      <c r="J1064" s="26"/>
    </row>
    <row r="1065" spans="2:10" ht="15.95" customHeight="1">
      <c r="B1065" s="456"/>
      <c r="E1065" s="457"/>
      <c r="F1065" s="443"/>
      <c r="G1065" s="26"/>
      <c r="H1065" s="26"/>
      <c r="I1065" s="26"/>
      <c r="J1065" s="26"/>
    </row>
    <row r="1066" spans="2:10" ht="15.95" customHeight="1">
      <c r="B1066" s="456"/>
      <c r="E1066" s="457"/>
      <c r="F1066" s="443"/>
      <c r="G1066" s="26"/>
      <c r="H1066" s="26"/>
      <c r="I1066" s="26"/>
      <c r="J1066" s="26"/>
    </row>
    <row r="1067" spans="2:10" ht="15.95" customHeight="1">
      <c r="B1067" s="456"/>
      <c r="E1067" s="457"/>
      <c r="F1067" s="443"/>
      <c r="G1067" s="26"/>
      <c r="H1067" s="26"/>
      <c r="I1067" s="26"/>
      <c r="J1067" s="26"/>
    </row>
    <row r="1068" spans="2:10" ht="15.95" customHeight="1">
      <c r="B1068" s="456"/>
      <c r="E1068" s="457"/>
      <c r="F1068" s="443"/>
      <c r="G1068" s="26"/>
      <c r="H1068" s="26"/>
      <c r="I1068" s="26"/>
      <c r="J1068" s="26"/>
    </row>
    <row r="1069" spans="2:10" ht="15.95" customHeight="1">
      <c r="B1069" s="456"/>
      <c r="E1069" s="457"/>
      <c r="F1069" s="443"/>
      <c r="G1069" s="26"/>
      <c r="H1069" s="26"/>
      <c r="I1069" s="26"/>
      <c r="J1069" s="26"/>
    </row>
    <row r="1070" spans="2:10" ht="15.95" customHeight="1">
      <c r="B1070" s="456"/>
      <c r="E1070" s="457"/>
      <c r="F1070" s="443"/>
      <c r="G1070" s="26"/>
      <c r="H1070" s="26"/>
      <c r="I1070" s="26"/>
      <c r="J1070" s="26"/>
    </row>
    <row r="1071" spans="2:10" ht="15.95" customHeight="1">
      <c r="B1071" s="456"/>
      <c r="E1071" s="457"/>
      <c r="F1071" s="443"/>
      <c r="G1071" s="26"/>
      <c r="H1071" s="26"/>
      <c r="I1071" s="26"/>
      <c r="J1071" s="26"/>
    </row>
    <row r="1072" spans="2:10" ht="15.95" customHeight="1">
      <c r="B1072" s="456"/>
      <c r="E1072" s="457"/>
      <c r="F1072" s="443"/>
      <c r="G1072" s="26"/>
      <c r="H1072" s="26"/>
      <c r="I1072" s="26"/>
      <c r="J1072" s="26"/>
    </row>
    <row r="1073" spans="2:10" ht="15.95" customHeight="1">
      <c r="B1073" s="456"/>
      <c r="E1073" s="457"/>
      <c r="F1073" s="443"/>
      <c r="G1073" s="26"/>
      <c r="H1073" s="26"/>
      <c r="I1073" s="26"/>
      <c r="J1073" s="26"/>
    </row>
    <row r="1074" spans="2:10" ht="15.95" customHeight="1">
      <c r="B1074" s="456"/>
      <c r="E1074" s="457"/>
      <c r="F1074" s="443"/>
      <c r="G1074" s="26"/>
      <c r="H1074" s="26"/>
      <c r="I1074" s="26"/>
      <c r="J1074" s="26"/>
    </row>
    <row r="1075" spans="2:10" ht="15.95" customHeight="1">
      <c r="B1075" s="456"/>
      <c r="E1075" s="457"/>
      <c r="F1075" s="443"/>
      <c r="G1075" s="26"/>
      <c r="H1075" s="26"/>
      <c r="I1075" s="26"/>
      <c r="J1075" s="26"/>
    </row>
    <row r="1076" spans="2:10" ht="15.95" customHeight="1">
      <c r="B1076" s="456"/>
      <c r="E1076" s="457"/>
      <c r="F1076" s="443"/>
      <c r="G1076" s="26"/>
      <c r="H1076" s="26"/>
      <c r="I1076" s="26"/>
      <c r="J1076" s="26"/>
    </row>
    <row r="1077" spans="2:10" ht="15.95" customHeight="1">
      <c r="B1077" s="456"/>
      <c r="E1077" s="457"/>
      <c r="F1077" s="443"/>
      <c r="G1077" s="26"/>
      <c r="H1077" s="26"/>
      <c r="I1077" s="26"/>
      <c r="J1077" s="26"/>
    </row>
    <row r="1078" spans="2:10" ht="15.95" customHeight="1">
      <c r="B1078" s="456"/>
      <c r="E1078" s="457"/>
      <c r="F1078" s="443"/>
      <c r="G1078" s="26"/>
      <c r="H1078" s="26"/>
      <c r="I1078" s="26"/>
      <c r="J1078" s="26"/>
    </row>
    <row r="1079" spans="2:10" ht="15.95" customHeight="1">
      <c r="B1079" s="456"/>
      <c r="E1079" s="457"/>
      <c r="F1079" s="443"/>
      <c r="G1079" s="26"/>
      <c r="H1079" s="26"/>
      <c r="I1079" s="26"/>
      <c r="J1079" s="26"/>
    </row>
    <row r="1080" spans="2:10" ht="15.95" customHeight="1">
      <c r="B1080" s="456"/>
      <c r="E1080" s="457"/>
      <c r="F1080" s="443"/>
      <c r="G1080" s="26"/>
      <c r="H1080" s="26"/>
      <c r="I1080" s="26"/>
      <c r="J1080" s="26"/>
    </row>
    <row r="1081" spans="2:10" ht="15.95" customHeight="1">
      <c r="B1081" s="456"/>
      <c r="E1081" s="457"/>
      <c r="F1081" s="443"/>
      <c r="G1081" s="26"/>
      <c r="H1081" s="26"/>
      <c r="I1081" s="26"/>
      <c r="J1081" s="26"/>
    </row>
    <row r="1082" spans="2:10" ht="15.95" customHeight="1">
      <c r="B1082" s="456"/>
      <c r="E1082" s="457"/>
      <c r="F1082" s="443"/>
      <c r="G1082" s="26"/>
      <c r="H1082" s="26"/>
      <c r="I1082" s="26"/>
      <c r="J1082" s="26"/>
    </row>
    <row r="1083" spans="2:10" ht="15.95" customHeight="1">
      <c r="B1083" s="456"/>
      <c r="E1083" s="457"/>
      <c r="F1083" s="443"/>
      <c r="G1083" s="26"/>
      <c r="H1083" s="26"/>
      <c r="I1083" s="26"/>
      <c r="J1083" s="26"/>
    </row>
    <row r="1084" spans="2:10" ht="15.95" customHeight="1">
      <c r="B1084" s="456"/>
      <c r="E1084" s="457"/>
      <c r="F1084" s="443"/>
      <c r="G1084" s="26"/>
      <c r="H1084" s="26"/>
      <c r="I1084" s="26"/>
      <c r="J1084" s="26"/>
    </row>
    <row r="1085" spans="2:10" ht="15.95" customHeight="1">
      <c r="B1085" s="456"/>
      <c r="E1085" s="457"/>
      <c r="F1085" s="443"/>
      <c r="G1085" s="26"/>
      <c r="H1085" s="26"/>
      <c r="I1085" s="26"/>
      <c r="J1085" s="26"/>
    </row>
    <row r="1086" spans="2:10" ht="15.95" customHeight="1">
      <c r="B1086" s="456"/>
      <c r="E1086" s="457"/>
      <c r="F1086" s="443"/>
      <c r="G1086" s="26"/>
      <c r="H1086" s="26"/>
      <c r="I1086" s="26"/>
      <c r="J1086" s="26"/>
    </row>
    <row r="1087" spans="2:10" ht="15.95" customHeight="1">
      <c r="B1087" s="456"/>
      <c r="E1087" s="457"/>
      <c r="F1087" s="443"/>
      <c r="G1087" s="26"/>
      <c r="H1087" s="26"/>
      <c r="I1087" s="26"/>
      <c r="J1087" s="26"/>
    </row>
    <row r="1088" spans="2:10" ht="15.95" customHeight="1">
      <c r="B1088" s="456"/>
      <c r="E1088" s="457"/>
      <c r="F1088" s="443"/>
      <c r="G1088" s="26"/>
      <c r="H1088" s="26"/>
      <c r="I1088" s="26"/>
      <c r="J1088" s="26"/>
    </row>
    <row r="1089" spans="2:10" ht="15.95" customHeight="1">
      <c r="B1089" s="456"/>
      <c r="E1089" s="457"/>
      <c r="F1089" s="443"/>
      <c r="G1089" s="26"/>
      <c r="H1089" s="26"/>
      <c r="I1089" s="26"/>
      <c r="J1089" s="26"/>
    </row>
    <row r="1090" spans="2:10" ht="15.95" customHeight="1">
      <c r="B1090" s="456"/>
      <c r="E1090" s="457"/>
      <c r="F1090" s="443"/>
      <c r="G1090" s="26"/>
      <c r="H1090" s="26"/>
      <c r="I1090" s="26"/>
      <c r="J1090" s="26"/>
    </row>
    <row r="1091" spans="2:10" ht="15.95" customHeight="1">
      <c r="B1091" s="456"/>
      <c r="E1091" s="457"/>
      <c r="F1091" s="443"/>
      <c r="G1091" s="26"/>
      <c r="H1091" s="26"/>
      <c r="I1091" s="26"/>
      <c r="J1091" s="26"/>
    </row>
    <row r="1092" spans="2:10" ht="15.95" customHeight="1">
      <c r="B1092" s="456"/>
      <c r="E1092" s="457"/>
      <c r="F1092" s="443"/>
      <c r="G1092" s="26"/>
      <c r="H1092" s="26"/>
      <c r="I1092" s="26"/>
      <c r="J1092" s="26"/>
    </row>
    <row r="1093" spans="2:10" ht="15.95" customHeight="1">
      <c r="B1093" s="456"/>
      <c r="E1093" s="457"/>
      <c r="F1093" s="443"/>
      <c r="G1093" s="26"/>
      <c r="H1093" s="26"/>
      <c r="I1093" s="26"/>
      <c r="J1093" s="26"/>
    </row>
    <row r="1094" spans="2:10" ht="15.95" customHeight="1">
      <c r="B1094" s="456"/>
      <c r="E1094" s="457"/>
      <c r="F1094" s="443"/>
      <c r="G1094" s="26"/>
      <c r="H1094" s="26"/>
      <c r="I1094" s="26"/>
      <c r="J1094" s="26"/>
    </row>
    <row r="1095" spans="2:10" ht="15.95" customHeight="1">
      <c r="B1095" s="456"/>
      <c r="E1095" s="457"/>
      <c r="F1095" s="443"/>
      <c r="G1095" s="26"/>
      <c r="H1095" s="26"/>
      <c r="I1095" s="26"/>
      <c r="J1095" s="26"/>
    </row>
    <row r="1096" spans="2:10" ht="15.95" customHeight="1">
      <c r="B1096" s="456"/>
      <c r="E1096" s="457"/>
      <c r="F1096" s="443"/>
      <c r="G1096" s="26"/>
      <c r="H1096" s="26"/>
      <c r="I1096" s="26"/>
      <c r="J1096" s="26"/>
    </row>
    <row r="1097" spans="2:10" ht="15.95" customHeight="1">
      <c r="B1097" s="456"/>
      <c r="E1097" s="457"/>
      <c r="F1097" s="443"/>
      <c r="G1097" s="26"/>
      <c r="H1097" s="26"/>
      <c r="I1097" s="26"/>
      <c r="J1097" s="26"/>
    </row>
    <row r="1098" spans="2:10" ht="15.95" customHeight="1">
      <c r="B1098" s="456"/>
      <c r="E1098" s="457"/>
      <c r="F1098" s="443"/>
      <c r="G1098" s="26"/>
      <c r="H1098" s="26"/>
      <c r="I1098" s="26"/>
      <c r="J1098" s="26"/>
    </row>
    <row r="1099" spans="2:10" ht="15.95" customHeight="1">
      <c r="B1099" s="456"/>
      <c r="E1099" s="457"/>
      <c r="F1099" s="443"/>
      <c r="G1099" s="26"/>
      <c r="H1099" s="26"/>
      <c r="I1099" s="26"/>
      <c r="J1099" s="26"/>
    </row>
    <row r="1100" spans="2:10" ht="15.95" customHeight="1">
      <c r="B1100" s="456"/>
      <c r="E1100" s="457"/>
      <c r="F1100" s="443"/>
      <c r="G1100" s="26"/>
      <c r="H1100" s="26"/>
      <c r="I1100" s="26"/>
      <c r="J1100" s="26"/>
    </row>
    <row r="1101" spans="2:10" ht="15.95" customHeight="1">
      <c r="B1101" s="456"/>
      <c r="E1101" s="457"/>
      <c r="F1101" s="443"/>
      <c r="G1101" s="26"/>
      <c r="H1101" s="26"/>
      <c r="I1101" s="26"/>
      <c r="J1101" s="26"/>
    </row>
    <row r="1102" spans="2:10" ht="15.95" customHeight="1">
      <c r="B1102" s="456"/>
      <c r="E1102" s="457"/>
      <c r="F1102" s="443"/>
      <c r="G1102" s="26"/>
      <c r="H1102" s="26"/>
      <c r="I1102" s="26"/>
      <c r="J1102" s="26"/>
    </row>
    <row r="1103" spans="2:10" ht="15.95" customHeight="1">
      <c r="B1103" s="456"/>
      <c r="E1103" s="457"/>
      <c r="F1103" s="443"/>
      <c r="G1103" s="26"/>
      <c r="H1103" s="26"/>
      <c r="I1103" s="26"/>
      <c r="J1103" s="26"/>
    </row>
    <row r="1104" spans="2:10" ht="15.95" customHeight="1">
      <c r="B1104" s="456"/>
      <c r="E1104" s="457"/>
      <c r="F1104" s="443"/>
      <c r="G1104" s="26"/>
      <c r="H1104" s="26"/>
      <c r="I1104" s="26"/>
      <c r="J1104" s="26"/>
    </row>
    <row r="1105" spans="2:10" ht="15.95" customHeight="1">
      <c r="B1105" s="456"/>
      <c r="E1105" s="457"/>
      <c r="F1105" s="443"/>
      <c r="G1105" s="26"/>
      <c r="H1105" s="26"/>
      <c r="I1105" s="26"/>
      <c r="J1105" s="26"/>
    </row>
    <row r="1106" spans="2:10" ht="15.95" customHeight="1">
      <c r="B1106" s="456"/>
      <c r="E1106" s="457"/>
      <c r="F1106" s="443"/>
      <c r="G1106" s="26"/>
      <c r="H1106" s="26"/>
      <c r="I1106" s="26"/>
      <c r="J1106" s="26"/>
    </row>
    <row r="1107" spans="2:10" ht="15.95" customHeight="1">
      <c r="B1107" s="456"/>
      <c r="E1107" s="457"/>
      <c r="F1107" s="443"/>
      <c r="G1107" s="26"/>
      <c r="H1107" s="26"/>
      <c r="I1107" s="26"/>
      <c r="J1107" s="26"/>
    </row>
    <row r="1108" spans="2:10" ht="15.95" customHeight="1">
      <c r="B1108" s="456"/>
      <c r="E1108" s="457"/>
      <c r="F1108" s="443"/>
      <c r="G1108" s="26"/>
      <c r="H1108" s="26"/>
      <c r="I1108" s="26"/>
      <c r="J1108" s="26"/>
    </row>
    <row r="1109" spans="2:10" ht="15.95" customHeight="1">
      <c r="B1109" s="456"/>
      <c r="E1109" s="457"/>
      <c r="F1109" s="443"/>
      <c r="G1109" s="26"/>
      <c r="H1109" s="26"/>
      <c r="I1109" s="26"/>
      <c r="J1109" s="26"/>
    </row>
    <row r="1110" spans="2:10" ht="15.95" customHeight="1">
      <c r="B1110" s="456"/>
      <c r="E1110" s="457"/>
      <c r="F1110" s="443"/>
      <c r="G1110" s="26"/>
      <c r="H1110" s="26"/>
      <c r="I1110" s="26"/>
      <c r="J1110" s="26"/>
    </row>
    <row r="1111" spans="2:10" ht="15.95" customHeight="1">
      <c r="B1111" s="456"/>
      <c r="E1111" s="457"/>
      <c r="F1111" s="443"/>
      <c r="G1111" s="26"/>
      <c r="H1111" s="26"/>
      <c r="I1111" s="26"/>
      <c r="J1111" s="26"/>
    </row>
    <row r="1112" spans="2:10" ht="15.95" customHeight="1">
      <c r="B1112" s="456"/>
      <c r="E1112" s="457"/>
      <c r="F1112" s="443"/>
      <c r="G1112" s="26"/>
      <c r="H1112" s="26"/>
      <c r="I1112" s="26"/>
      <c r="J1112" s="26"/>
    </row>
    <row r="1113" spans="2:10" ht="15.95" customHeight="1">
      <c r="B1113" s="456"/>
      <c r="E1113" s="457"/>
      <c r="F1113" s="443"/>
      <c r="G1113" s="26"/>
      <c r="H1113" s="26"/>
      <c r="I1113" s="26"/>
      <c r="J1113" s="26"/>
    </row>
    <row r="1114" spans="2:10" ht="15.95" customHeight="1">
      <c r="B1114" s="456"/>
      <c r="E1114" s="457"/>
      <c r="F1114" s="443"/>
      <c r="G1114" s="26"/>
      <c r="H1114" s="26"/>
      <c r="I1114" s="26"/>
      <c r="J1114" s="26"/>
    </row>
    <row r="1115" spans="2:10" ht="15.95" customHeight="1">
      <c r="B1115" s="456"/>
      <c r="E1115" s="457"/>
      <c r="F1115" s="443"/>
      <c r="G1115" s="26"/>
      <c r="H1115" s="26"/>
      <c r="I1115" s="26"/>
      <c r="J1115" s="26"/>
    </row>
    <row r="1116" spans="2:10" ht="15.95" customHeight="1">
      <c r="B1116" s="456"/>
      <c r="E1116" s="457"/>
      <c r="F1116" s="443"/>
      <c r="G1116" s="26"/>
      <c r="H1116" s="26"/>
      <c r="I1116" s="26"/>
      <c r="J1116" s="26"/>
    </row>
    <row r="1117" spans="2:10" ht="15.95" customHeight="1">
      <c r="B1117" s="456"/>
      <c r="E1117" s="457"/>
      <c r="F1117" s="443"/>
      <c r="G1117" s="26"/>
      <c r="H1117" s="26"/>
      <c r="I1117" s="26"/>
      <c r="J1117" s="26"/>
    </row>
    <row r="1118" spans="2:10" ht="15.95" customHeight="1">
      <c r="B1118" s="456"/>
      <c r="E1118" s="457"/>
      <c r="F1118" s="443"/>
      <c r="G1118" s="26"/>
      <c r="H1118" s="26"/>
      <c r="I1118" s="26"/>
      <c r="J1118" s="26"/>
    </row>
    <row r="1119" spans="2:10" ht="15.95" customHeight="1">
      <c r="B1119" s="456"/>
      <c r="E1119" s="457"/>
      <c r="F1119" s="443"/>
      <c r="G1119" s="26"/>
      <c r="H1119" s="26"/>
      <c r="I1119" s="26"/>
      <c r="J1119" s="26"/>
    </row>
    <row r="1120" spans="2:10" ht="15.95" customHeight="1">
      <c r="B1120" s="456"/>
      <c r="E1120" s="457"/>
      <c r="F1120" s="443"/>
      <c r="G1120" s="26"/>
      <c r="H1120" s="26"/>
      <c r="I1120" s="26"/>
      <c r="J1120" s="26"/>
    </row>
    <row r="1121" spans="2:10" ht="15.95" customHeight="1">
      <c r="B1121" s="456"/>
      <c r="E1121" s="457"/>
      <c r="F1121" s="443"/>
      <c r="G1121" s="26"/>
      <c r="H1121" s="26"/>
      <c r="I1121" s="26"/>
      <c r="J1121" s="26"/>
    </row>
    <row r="1122" spans="2:10" ht="15.95" customHeight="1">
      <c r="B1122" s="456"/>
      <c r="E1122" s="457"/>
      <c r="F1122" s="443"/>
      <c r="G1122" s="26"/>
      <c r="H1122" s="26"/>
      <c r="I1122" s="26"/>
      <c r="J1122" s="26"/>
    </row>
    <row r="1123" spans="2:10" ht="15.95" customHeight="1">
      <c r="B1123" s="456"/>
      <c r="E1123" s="457"/>
      <c r="F1123" s="443"/>
      <c r="G1123" s="26"/>
      <c r="H1123" s="26"/>
      <c r="I1123" s="26"/>
      <c r="J1123" s="26"/>
    </row>
    <row r="1124" spans="2:10" ht="15.95" customHeight="1">
      <c r="B1124" s="456"/>
      <c r="E1124" s="457"/>
      <c r="F1124" s="443"/>
      <c r="G1124" s="26"/>
      <c r="H1124" s="26"/>
      <c r="I1124" s="26"/>
      <c r="J1124" s="26"/>
    </row>
    <row r="1125" spans="2:10" ht="15.95" customHeight="1">
      <c r="B1125" s="456"/>
      <c r="E1125" s="457"/>
      <c r="F1125" s="443"/>
      <c r="G1125" s="26"/>
      <c r="H1125" s="26"/>
      <c r="I1125" s="26"/>
      <c r="J1125" s="26"/>
    </row>
    <row r="1126" spans="2:10" ht="15.95" customHeight="1">
      <c r="B1126" s="456"/>
      <c r="E1126" s="457"/>
      <c r="F1126" s="443"/>
      <c r="G1126" s="26"/>
      <c r="H1126" s="26"/>
      <c r="I1126" s="26"/>
      <c r="J1126" s="26"/>
    </row>
    <row r="1127" spans="2:10" ht="15.95" customHeight="1">
      <c r="B1127" s="456"/>
      <c r="E1127" s="457"/>
      <c r="F1127" s="443"/>
      <c r="G1127" s="26"/>
      <c r="H1127" s="26"/>
      <c r="I1127" s="26"/>
      <c r="J1127" s="26"/>
    </row>
    <row r="1128" spans="2:10" ht="15.95" customHeight="1">
      <c r="B1128" s="456"/>
      <c r="E1128" s="457"/>
      <c r="F1128" s="443"/>
      <c r="G1128" s="26"/>
      <c r="H1128" s="26"/>
      <c r="I1128" s="26"/>
      <c r="J1128" s="26"/>
    </row>
    <row r="1129" spans="2:10" ht="15.95" customHeight="1">
      <c r="B1129" s="456"/>
      <c r="E1129" s="457"/>
      <c r="F1129" s="443"/>
      <c r="G1129" s="26"/>
      <c r="H1129" s="26"/>
      <c r="I1129" s="26"/>
      <c r="J1129" s="26"/>
    </row>
    <row r="1130" spans="2:10" ht="15.95" customHeight="1">
      <c r="B1130" s="456"/>
      <c r="E1130" s="457"/>
      <c r="F1130" s="443"/>
      <c r="G1130" s="26"/>
      <c r="H1130" s="26"/>
      <c r="I1130" s="26"/>
      <c r="J1130" s="26"/>
    </row>
    <row r="1131" spans="2:10" ht="15.95" customHeight="1">
      <c r="B1131" s="456"/>
      <c r="E1131" s="457"/>
      <c r="F1131" s="443"/>
      <c r="G1131" s="26"/>
      <c r="H1131" s="26"/>
      <c r="I1131" s="26"/>
      <c r="J1131" s="26"/>
    </row>
    <row r="1132" spans="2:10" ht="15.95" customHeight="1">
      <c r="B1132" s="456"/>
      <c r="E1132" s="457"/>
      <c r="F1132" s="443"/>
      <c r="G1132" s="26"/>
      <c r="H1132" s="26"/>
      <c r="I1132" s="26"/>
      <c r="J1132" s="26"/>
    </row>
    <row r="1133" spans="2:10" ht="15.95" customHeight="1">
      <c r="B1133" s="456"/>
      <c r="E1133" s="457"/>
      <c r="F1133" s="443"/>
      <c r="G1133" s="26"/>
      <c r="H1133" s="26"/>
      <c r="I1133" s="26"/>
      <c r="J1133" s="26"/>
    </row>
    <row r="1134" spans="2:10" ht="15.95" customHeight="1">
      <c r="B1134" s="456"/>
      <c r="E1134" s="457"/>
      <c r="F1134" s="443"/>
      <c r="G1134" s="26"/>
      <c r="H1134" s="26"/>
      <c r="I1134" s="26"/>
      <c r="J1134" s="26"/>
    </row>
    <row r="1135" spans="2:10" ht="15.95" customHeight="1">
      <c r="B1135" s="456"/>
      <c r="E1135" s="457"/>
      <c r="F1135" s="443"/>
      <c r="G1135" s="26"/>
      <c r="H1135" s="26"/>
      <c r="I1135" s="26"/>
      <c r="J1135" s="26"/>
    </row>
    <row r="1136" spans="2:10" ht="15.95" customHeight="1">
      <c r="B1136" s="456"/>
      <c r="E1136" s="457"/>
      <c r="F1136" s="443"/>
      <c r="G1136" s="26"/>
      <c r="H1136" s="26"/>
      <c r="I1136" s="26"/>
      <c r="J1136" s="26"/>
    </row>
    <row r="1137" spans="1:10" ht="15.95" customHeight="1">
      <c r="B1137" s="456"/>
      <c r="E1137" s="457"/>
      <c r="F1137" s="443"/>
      <c r="G1137" s="26"/>
      <c r="H1137" s="26"/>
      <c r="I1137" s="26"/>
      <c r="J1137" s="26"/>
    </row>
    <row r="1138" spans="1:10" ht="15.95" customHeight="1">
      <c r="B1138" s="456"/>
      <c r="E1138" s="457"/>
      <c r="F1138" s="443"/>
      <c r="G1138" s="26"/>
      <c r="H1138" s="26"/>
      <c r="I1138" s="26"/>
      <c r="J1138" s="26"/>
    </row>
    <row r="1139" spans="1:10" ht="15.95" customHeight="1">
      <c r="B1139" s="456"/>
      <c r="E1139" s="457"/>
      <c r="F1139" s="443"/>
      <c r="G1139" s="26"/>
      <c r="H1139" s="26"/>
      <c r="I1139" s="26"/>
      <c r="J1139" s="26"/>
    </row>
    <row r="1140" spans="1:10" ht="15.95" customHeight="1">
      <c r="B1140" s="456"/>
      <c r="E1140" s="457"/>
      <c r="F1140" s="443"/>
      <c r="G1140" s="26"/>
      <c r="H1140" s="26"/>
      <c r="I1140" s="26"/>
      <c r="J1140" s="26"/>
    </row>
    <row r="1141" spans="1:10" ht="15.95" customHeight="1">
      <c r="B1141" s="456"/>
      <c r="E1141" s="457"/>
      <c r="F1141" s="443"/>
      <c r="G1141" s="26"/>
      <c r="H1141" s="26"/>
      <c r="I1141" s="26"/>
      <c r="J1141" s="26"/>
    </row>
    <row r="1142" spans="1:10" ht="15.95" customHeight="1">
      <c r="B1142" s="456"/>
      <c r="E1142" s="457"/>
      <c r="F1142" s="443"/>
      <c r="G1142" s="26"/>
      <c r="H1142" s="26"/>
      <c r="I1142" s="26"/>
      <c r="J1142" s="26"/>
    </row>
    <row r="1143" spans="1:10" ht="15.95" customHeight="1">
      <c r="B1143" s="456"/>
      <c r="E1143" s="457"/>
      <c r="F1143" s="443"/>
      <c r="G1143" s="26"/>
      <c r="H1143" s="26"/>
      <c r="I1143" s="26"/>
      <c r="J1143" s="26"/>
    </row>
    <row r="1144" spans="1:10" ht="15.95" customHeight="1">
      <c r="B1144" s="456"/>
      <c r="E1144" s="457"/>
      <c r="F1144" s="443"/>
      <c r="G1144" s="26"/>
      <c r="H1144" s="26"/>
      <c r="I1144" s="26"/>
      <c r="J1144" s="26"/>
    </row>
    <row r="1145" spans="1:10" ht="15.95" customHeight="1">
      <c r="A1145" s="459"/>
      <c r="B1145" s="458"/>
      <c r="C1145" s="482"/>
      <c r="D1145" s="459"/>
      <c r="E1145" s="443"/>
      <c r="F1145" s="443" t="s">
        <v>605</v>
      </c>
      <c r="G1145" s="26"/>
      <c r="H1145" s="26"/>
      <c r="I1145" s="26"/>
      <c r="J1145" s="26"/>
    </row>
    <row r="1146" spans="1:10" ht="15.95" customHeight="1">
      <c r="B1146" s="456"/>
      <c r="E1146" s="457"/>
      <c r="F1146" s="443"/>
      <c r="G1146" s="26"/>
      <c r="H1146" s="26"/>
      <c r="I1146" s="26"/>
      <c r="J1146" s="26"/>
    </row>
    <row r="1147" spans="1:10" ht="15.95" customHeight="1">
      <c r="B1147" s="456"/>
      <c r="E1147" s="457"/>
      <c r="F1147" s="443"/>
      <c r="G1147" s="26"/>
      <c r="H1147" s="26"/>
      <c r="I1147" s="26"/>
      <c r="J1147" s="26"/>
    </row>
    <row r="1148" spans="1:10" ht="15.95" customHeight="1">
      <c r="B1148" s="456"/>
      <c r="E1148" s="457"/>
      <c r="F1148" s="443"/>
      <c r="G1148" s="26"/>
      <c r="H1148" s="26"/>
      <c r="I1148" s="26"/>
      <c r="J1148" s="26"/>
    </row>
    <row r="1149" spans="1:10" ht="15.95" customHeight="1">
      <c r="B1149" s="456"/>
      <c r="E1149" s="457"/>
      <c r="F1149" s="443"/>
      <c r="G1149" s="26"/>
      <c r="H1149" s="26"/>
      <c r="I1149" s="26"/>
      <c r="J1149" s="26"/>
    </row>
    <row r="1150" spans="1:10" ht="15.95" customHeight="1">
      <c r="B1150" s="456"/>
      <c r="E1150" s="457"/>
      <c r="F1150" s="443"/>
      <c r="G1150" s="26"/>
      <c r="H1150" s="26"/>
      <c r="I1150" s="26"/>
      <c r="J1150" s="26"/>
    </row>
    <row r="1151" spans="1:10" ht="15.95" customHeight="1">
      <c r="B1151" s="456"/>
      <c r="E1151" s="457"/>
      <c r="F1151" s="443"/>
      <c r="G1151" s="26"/>
      <c r="H1151" s="26"/>
      <c r="I1151" s="26"/>
      <c r="J1151" s="26"/>
    </row>
    <row r="1152" spans="1:10" ht="15.95" customHeight="1">
      <c r="B1152" s="456"/>
      <c r="E1152" s="457"/>
      <c r="F1152" s="443"/>
      <c r="G1152" s="26"/>
      <c r="H1152" s="26"/>
      <c r="I1152" s="26"/>
      <c r="J1152" s="26"/>
    </row>
    <row r="1153" spans="2:10" ht="15.95" customHeight="1">
      <c r="B1153" s="456"/>
      <c r="E1153" s="457"/>
      <c r="F1153" s="443"/>
      <c r="G1153" s="26"/>
      <c r="H1153" s="26"/>
      <c r="I1153" s="26"/>
      <c r="J1153" s="26"/>
    </row>
    <row r="1154" spans="2:10" ht="15.95" customHeight="1">
      <c r="B1154" s="456"/>
      <c r="E1154" s="457"/>
      <c r="F1154" s="443"/>
      <c r="G1154" s="26"/>
      <c r="H1154" s="26"/>
      <c r="I1154" s="26"/>
      <c r="J1154" s="26"/>
    </row>
    <row r="1155" spans="2:10" ht="15.95" customHeight="1">
      <c r="B1155" s="456"/>
      <c r="E1155" s="457"/>
      <c r="F1155" s="443"/>
      <c r="G1155" s="26"/>
      <c r="H1155" s="26"/>
      <c r="I1155" s="26"/>
      <c r="J1155" s="26"/>
    </row>
    <row r="1156" spans="2:10" ht="15.95" customHeight="1">
      <c r="B1156" s="456"/>
      <c r="E1156" s="457"/>
      <c r="F1156" s="443"/>
      <c r="G1156" s="26"/>
      <c r="H1156" s="26"/>
      <c r="I1156" s="26"/>
      <c r="J1156" s="26"/>
    </row>
    <row r="1157" spans="2:10" ht="15.95" customHeight="1">
      <c r="B1157" s="456"/>
      <c r="E1157" s="457"/>
      <c r="F1157" s="443"/>
      <c r="G1157" s="26"/>
      <c r="H1157" s="26"/>
      <c r="I1157" s="26"/>
      <c r="J1157" s="26"/>
    </row>
    <row r="1158" spans="2:10" ht="15.95" customHeight="1">
      <c r="B1158" s="456"/>
      <c r="E1158" s="457"/>
      <c r="F1158" s="443"/>
      <c r="G1158" s="26"/>
      <c r="H1158" s="26"/>
      <c r="I1158" s="26"/>
      <c r="J1158" s="26"/>
    </row>
    <row r="1159" spans="2:10" ht="15.95" customHeight="1">
      <c r="B1159" s="456"/>
      <c r="E1159" s="457"/>
      <c r="F1159" s="443"/>
      <c r="G1159" s="26"/>
      <c r="H1159" s="26"/>
      <c r="I1159" s="26"/>
      <c r="J1159" s="26"/>
    </row>
    <row r="1160" spans="2:10" ht="15.95" customHeight="1">
      <c r="B1160" s="456"/>
      <c r="E1160" s="457"/>
      <c r="F1160" s="443"/>
      <c r="G1160" s="26"/>
      <c r="H1160" s="26"/>
      <c r="I1160" s="26"/>
      <c r="J1160" s="26"/>
    </row>
    <row r="1161" spans="2:10" ht="15.95" customHeight="1">
      <c r="B1161" s="456"/>
      <c r="E1161" s="457"/>
      <c r="F1161" s="443"/>
      <c r="G1161" s="26"/>
      <c r="H1161" s="26"/>
      <c r="I1161" s="26"/>
      <c r="J1161" s="26"/>
    </row>
    <row r="1162" spans="2:10" ht="15.95" customHeight="1">
      <c r="B1162" s="456"/>
      <c r="E1162" s="457"/>
      <c r="F1162" s="443"/>
      <c r="G1162" s="26"/>
      <c r="H1162" s="26"/>
      <c r="I1162" s="26"/>
      <c r="J1162" s="26"/>
    </row>
    <row r="1163" spans="2:10" ht="15.95" customHeight="1">
      <c r="B1163" s="456"/>
      <c r="E1163" s="457"/>
      <c r="F1163" s="443"/>
      <c r="G1163" s="26"/>
      <c r="H1163" s="26"/>
      <c r="I1163" s="26"/>
      <c r="J1163" s="26"/>
    </row>
    <row r="1164" spans="2:10" ht="15.95" customHeight="1">
      <c r="B1164" s="456"/>
      <c r="E1164" s="457"/>
      <c r="F1164" s="443"/>
      <c r="G1164" s="26"/>
      <c r="H1164" s="26"/>
      <c r="I1164" s="26"/>
      <c r="J1164" s="26"/>
    </row>
    <row r="1165" spans="2:10" ht="15.95" customHeight="1">
      <c r="B1165" s="456"/>
      <c r="E1165" s="457"/>
      <c r="F1165" s="443"/>
      <c r="G1165" s="26"/>
      <c r="H1165" s="26"/>
      <c r="I1165" s="26"/>
      <c r="J1165" s="26"/>
    </row>
    <row r="1166" spans="2:10" ht="15.95" customHeight="1">
      <c r="B1166" s="456"/>
      <c r="E1166" s="457"/>
      <c r="F1166" s="443"/>
      <c r="G1166" s="26"/>
      <c r="H1166" s="26"/>
      <c r="I1166" s="26"/>
      <c r="J1166" s="26"/>
    </row>
    <row r="1167" spans="2:10" ht="15.95" customHeight="1">
      <c r="B1167" s="456"/>
      <c r="E1167" s="457"/>
      <c r="F1167" s="443"/>
      <c r="G1167" s="26"/>
      <c r="H1167" s="26"/>
      <c r="I1167" s="26"/>
      <c r="J1167" s="26"/>
    </row>
    <row r="1168" spans="2:10" ht="15.95" customHeight="1">
      <c r="B1168" s="456"/>
      <c r="E1168" s="457"/>
      <c r="F1168" s="443"/>
      <c r="G1168" s="26"/>
      <c r="H1168" s="26"/>
      <c r="I1168" s="26"/>
      <c r="J1168" s="26"/>
    </row>
    <row r="1169" spans="2:10" ht="15.95" customHeight="1">
      <c r="B1169" s="456"/>
      <c r="E1169" s="457"/>
      <c r="F1169" s="443"/>
      <c r="G1169" s="26"/>
      <c r="H1169" s="26"/>
      <c r="I1169" s="26"/>
      <c r="J1169" s="26"/>
    </row>
    <row r="1170" spans="2:10" ht="15.95" customHeight="1">
      <c r="B1170" s="456"/>
      <c r="E1170" s="457"/>
      <c r="F1170" s="443"/>
      <c r="G1170" s="26"/>
      <c r="H1170" s="26"/>
      <c r="I1170" s="26"/>
      <c r="J1170" s="26"/>
    </row>
    <row r="1171" spans="2:10" ht="15.95" customHeight="1">
      <c r="B1171" s="456"/>
      <c r="E1171" s="457"/>
      <c r="F1171" s="443"/>
      <c r="G1171" s="26"/>
      <c r="H1171" s="26"/>
      <c r="I1171" s="26"/>
      <c r="J1171" s="26"/>
    </row>
    <row r="1172" spans="2:10" ht="15.95" customHeight="1">
      <c r="B1172" s="456"/>
      <c r="E1172" s="457"/>
      <c r="F1172" s="443"/>
      <c r="G1172" s="26"/>
      <c r="H1172" s="26"/>
      <c r="I1172" s="26"/>
      <c r="J1172" s="26"/>
    </row>
    <row r="1173" spans="2:10" ht="15.95" customHeight="1">
      <c r="B1173" s="456"/>
      <c r="E1173" s="457"/>
      <c r="F1173" s="443"/>
      <c r="G1173" s="26"/>
      <c r="H1173" s="26"/>
      <c r="I1173" s="26"/>
      <c r="J1173" s="26"/>
    </row>
    <row r="1174" spans="2:10" ht="15.95" customHeight="1">
      <c r="B1174" s="456"/>
      <c r="E1174" s="457"/>
      <c r="F1174" s="443"/>
      <c r="G1174" s="26"/>
      <c r="H1174" s="26"/>
      <c r="I1174" s="26"/>
      <c r="J1174" s="26"/>
    </row>
    <row r="1175" spans="2:10" ht="15.95" customHeight="1">
      <c r="B1175" s="456"/>
      <c r="E1175" s="457"/>
      <c r="F1175" s="443"/>
      <c r="G1175" s="26"/>
      <c r="H1175" s="26"/>
      <c r="I1175" s="26"/>
      <c r="J1175" s="26"/>
    </row>
    <row r="1176" spans="2:10" ht="15.95" customHeight="1">
      <c r="B1176" s="456"/>
      <c r="E1176" s="457"/>
      <c r="F1176" s="443"/>
      <c r="G1176" s="26"/>
      <c r="H1176" s="26"/>
      <c r="I1176" s="26"/>
      <c r="J1176" s="26"/>
    </row>
    <row r="1177" spans="2:10" ht="15.95" customHeight="1">
      <c r="B1177" s="456"/>
      <c r="E1177" s="457"/>
      <c r="F1177" s="443"/>
      <c r="G1177" s="26"/>
      <c r="H1177" s="26"/>
      <c r="I1177" s="26"/>
      <c r="J1177" s="26"/>
    </row>
    <row r="1178" spans="2:10" ht="15.95" customHeight="1">
      <c r="B1178" s="456"/>
      <c r="E1178" s="457"/>
      <c r="F1178" s="443"/>
      <c r="G1178" s="26"/>
      <c r="H1178" s="26"/>
      <c r="I1178" s="26"/>
      <c r="J1178" s="26"/>
    </row>
    <row r="1179" spans="2:10" ht="15.95" customHeight="1">
      <c r="B1179" s="456"/>
      <c r="E1179" s="457"/>
      <c r="F1179" s="443"/>
      <c r="G1179" s="26"/>
      <c r="H1179" s="26"/>
      <c r="I1179" s="26"/>
      <c r="J1179" s="26"/>
    </row>
    <row r="1180" spans="2:10" ht="15.95" customHeight="1">
      <c r="B1180" s="456"/>
      <c r="E1180" s="457"/>
      <c r="F1180" s="443"/>
      <c r="G1180" s="26"/>
      <c r="H1180" s="26"/>
      <c r="I1180" s="26"/>
      <c r="J1180" s="26"/>
    </row>
    <row r="1181" spans="2:10" ht="15.95" customHeight="1">
      <c r="B1181" s="456"/>
      <c r="E1181" s="457"/>
      <c r="F1181" s="443"/>
      <c r="G1181" s="26"/>
      <c r="H1181" s="26"/>
      <c r="I1181" s="26"/>
      <c r="J1181" s="26"/>
    </row>
    <row r="1182" spans="2:10" ht="15.95" customHeight="1">
      <c r="B1182" s="456"/>
      <c r="E1182" s="457"/>
      <c r="F1182" s="443"/>
      <c r="G1182" s="26"/>
      <c r="H1182" s="26"/>
      <c r="I1182" s="26"/>
      <c r="J1182" s="26"/>
    </row>
    <row r="1183" spans="2:10" ht="15.95" customHeight="1">
      <c r="B1183" s="456"/>
      <c r="E1183" s="457"/>
      <c r="F1183" s="443"/>
      <c r="G1183" s="26"/>
      <c r="H1183" s="26"/>
      <c r="I1183" s="26"/>
      <c r="J1183" s="26"/>
    </row>
    <row r="1184" spans="2:10" ht="15.95" customHeight="1">
      <c r="B1184" s="456"/>
      <c r="E1184" s="457"/>
      <c r="F1184" s="443"/>
      <c r="G1184" s="26"/>
      <c r="H1184" s="26"/>
      <c r="I1184" s="26"/>
      <c r="J1184" s="26"/>
    </row>
    <row r="1185" spans="2:10" ht="15.95" customHeight="1">
      <c r="B1185" s="456"/>
      <c r="E1185" s="457"/>
      <c r="F1185" s="443"/>
      <c r="G1185" s="26"/>
      <c r="H1185" s="26"/>
      <c r="I1185" s="26"/>
      <c r="J1185" s="26"/>
    </row>
    <row r="1186" spans="2:10" ht="15.95" customHeight="1">
      <c r="B1186" s="456"/>
      <c r="E1186" s="457"/>
      <c r="F1186" s="443"/>
      <c r="G1186" s="26"/>
      <c r="H1186" s="26"/>
      <c r="I1186" s="26"/>
      <c r="J1186" s="26"/>
    </row>
    <row r="1187" spans="2:10" ht="15.95" customHeight="1">
      <c r="B1187" s="456"/>
      <c r="E1187" s="457"/>
      <c r="F1187" s="443"/>
      <c r="G1187" s="26"/>
      <c r="H1187" s="26"/>
      <c r="I1187" s="26"/>
      <c r="J1187" s="26"/>
    </row>
    <row r="1188" spans="2:10" ht="15.95" customHeight="1">
      <c r="B1188" s="456"/>
      <c r="E1188" s="457"/>
      <c r="F1188" s="443"/>
      <c r="G1188" s="26"/>
      <c r="H1188" s="26"/>
      <c r="I1188" s="26"/>
      <c r="J1188" s="26"/>
    </row>
    <row r="1189" spans="2:10" ht="15.95" customHeight="1">
      <c r="B1189" s="456"/>
      <c r="E1189" s="457"/>
      <c r="F1189" s="443"/>
      <c r="G1189" s="26"/>
      <c r="H1189" s="26"/>
      <c r="I1189" s="26"/>
      <c r="J1189" s="26"/>
    </row>
    <row r="1190" spans="2:10" ht="15.95" customHeight="1">
      <c r="B1190" s="456"/>
      <c r="E1190" s="457"/>
      <c r="F1190" s="443"/>
      <c r="G1190" s="26"/>
      <c r="H1190" s="26"/>
      <c r="I1190" s="26"/>
      <c r="J1190" s="26"/>
    </row>
    <row r="1191" spans="2:10" ht="15.95" customHeight="1">
      <c r="B1191" s="456"/>
      <c r="E1191" s="457"/>
      <c r="F1191" s="443"/>
      <c r="G1191" s="26"/>
      <c r="H1191" s="26"/>
      <c r="I1191" s="26"/>
      <c r="J1191" s="26"/>
    </row>
    <row r="1192" spans="2:10" ht="15.95" customHeight="1">
      <c r="B1192" s="456"/>
      <c r="E1192" s="457"/>
      <c r="F1192" s="443"/>
      <c r="G1192" s="26"/>
      <c r="H1192" s="26"/>
      <c r="I1192" s="26"/>
      <c r="J1192" s="26"/>
    </row>
    <row r="1193" spans="2:10" ht="15.95" customHeight="1">
      <c r="B1193" s="456"/>
      <c r="E1193" s="457"/>
      <c r="F1193" s="443"/>
      <c r="G1193" s="26"/>
      <c r="H1193" s="26"/>
      <c r="I1193" s="26"/>
      <c r="J1193" s="26"/>
    </row>
    <row r="1194" spans="2:10" ht="15.95" customHeight="1">
      <c r="B1194" s="456"/>
      <c r="E1194" s="457"/>
      <c r="F1194" s="443"/>
      <c r="G1194" s="26"/>
      <c r="H1194" s="26"/>
      <c r="I1194" s="26"/>
      <c r="J1194" s="26"/>
    </row>
    <row r="1195" spans="2:10" ht="15.95" customHeight="1">
      <c r="B1195" s="456"/>
      <c r="E1195" s="457"/>
      <c r="F1195" s="443"/>
      <c r="G1195" s="26"/>
      <c r="H1195" s="26"/>
      <c r="I1195" s="26"/>
      <c r="J1195" s="26"/>
    </row>
    <row r="1196" spans="2:10" ht="15.95" customHeight="1">
      <c r="B1196" s="456"/>
      <c r="E1196" s="457"/>
      <c r="F1196" s="443"/>
      <c r="G1196" s="26"/>
      <c r="H1196" s="26"/>
      <c r="I1196" s="26"/>
      <c r="J1196" s="26"/>
    </row>
    <row r="1197" spans="2:10" ht="15.95" customHeight="1">
      <c r="B1197" s="456"/>
      <c r="E1197" s="457"/>
      <c r="F1197" s="443"/>
      <c r="G1197" s="26"/>
      <c r="H1197" s="26"/>
      <c r="I1197" s="26"/>
      <c r="J1197" s="26"/>
    </row>
    <row r="1198" spans="2:10" ht="15.95" customHeight="1">
      <c r="B1198" s="456"/>
      <c r="E1198" s="457"/>
      <c r="F1198" s="443"/>
      <c r="G1198" s="26"/>
      <c r="H1198" s="26"/>
      <c r="I1198" s="26"/>
      <c r="J1198" s="26"/>
    </row>
    <row r="1199" spans="2:10" ht="15.95" customHeight="1">
      <c r="B1199" s="456"/>
      <c r="E1199" s="457"/>
      <c r="F1199" s="443"/>
      <c r="G1199" s="26"/>
      <c r="H1199" s="26"/>
      <c r="I1199" s="26"/>
      <c r="J1199" s="26"/>
    </row>
    <row r="1200" spans="2:10" ht="15.95" customHeight="1">
      <c r="B1200" s="456"/>
      <c r="E1200" s="457"/>
      <c r="F1200" s="443"/>
      <c r="G1200" s="26"/>
      <c r="H1200" s="26"/>
      <c r="I1200" s="26"/>
      <c r="J1200" s="26"/>
    </row>
    <row r="1201" spans="2:10" ht="15.95" customHeight="1">
      <c r="B1201" s="456"/>
      <c r="E1201" s="457"/>
      <c r="F1201" s="443"/>
      <c r="G1201" s="26"/>
      <c r="H1201" s="26"/>
      <c r="I1201" s="26"/>
      <c r="J1201" s="26"/>
    </row>
    <row r="1202" spans="2:10" ht="15.95" customHeight="1">
      <c r="B1202" s="456"/>
      <c r="E1202" s="457"/>
      <c r="F1202" s="443"/>
      <c r="G1202" s="26"/>
      <c r="H1202" s="26"/>
      <c r="I1202" s="26"/>
      <c r="J1202" s="26"/>
    </row>
    <row r="1203" spans="2:10" ht="15.95" customHeight="1">
      <c r="B1203" s="456"/>
      <c r="E1203" s="457"/>
      <c r="F1203" s="443"/>
      <c r="G1203" s="26"/>
      <c r="H1203" s="26"/>
      <c r="I1203" s="26"/>
      <c r="J1203" s="26"/>
    </row>
    <row r="1204" spans="2:10" ht="15.95" customHeight="1">
      <c r="B1204" s="456"/>
      <c r="E1204" s="457"/>
      <c r="F1204" s="443"/>
      <c r="G1204" s="26"/>
      <c r="H1204" s="26"/>
      <c r="I1204" s="26"/>
      <c r="J1204" s="26"/>
    </row>
    <row r="1205" spans="2:10" ht="15.95" customHeight="1">
      <c r="B1205" s="456"/>
      <c r="E1205" s="457"/>
      <c r="F1205" s="443"/>
      <c r="G1205" s="26"/>
      <c r="H1205" s="26"/>
      <c r="I1205" s="26"/>
      <c r="J1205" s="26"/>
    </row>
    <row r="1206" spans="2:10" ht="15.95" customHeight="1">
      <c r="B1206" s="456"/>
      <c r="E1206" s="457"/>
      <c r="F1206" s="443"/>
      <c r="G1206" s="26"/>
      <c r="H1206" s="26"/>
      <c r="I1206" s="26"/>
      <c r="J1206" s="26"/>
    </row>
    <row r="1207" spans="2:10" ht="15.95" customHeight="1">
      <c r="B1207" s="456"/>
      <c r="E1207" s="457"/>
      <c r="F1207" s="443"/>
      <c r="G1207" s="26"/>
      <c r="H1207" s="26"/>
      <c r="I1207" s="26"/>
      <c r="J1207" s="26"/>
    </row>
    <row r="1208" spans="2:10" ht="15.95" customHeight="1">
      <c r="B1208" s="456"/>
      <c r="E1208" s="457"/>
      <c r="F1208" s="443"/>
      <c r="G1208" s="26"/>
      <c r="H1208" s="26"/>
      <c r="I1208" s="26"/>
      <c r="J1208" s="26"/>
    </row>
    <row r="1209" spans="2:10" ht="15.95" customHeight="1">
      <c r="B1209" s="456"/>
      <c r="E1209" s="457"/>
      <c r="F1209" s="443"/>
      <c r="G1209" s="26"/>
      <c r="H1209" s="26"/>
      <c r="I1209" s="26"/>
      <c r="J1209" s="26"/>
    </row>
    <row r="1210" spans="2:10" ht="15.95" customHeight="1">
      <c r="B1210" s="456"/>
      <c r="E1210" s="457"/>
      <c r="F1210" s="443"/>
      <c r="G1210" s="26"/>
      <c r="H1210" s="26"/>
      <c r="I1210" s="26"/>
      <c r="J1210" s="26"/>
    </row>
    <row r="1211" spans="2:10" ht="15.95" customHeight="1">
      <c r="B1211" s="456"/>
      <c r="E1211" s="457"/>
      <c r="F1211" s="443"/>
      <c r="G1211" s="26"/>
      <c r="H1211" s="26"/>
      <c r="I1211" s="26"/>
      <c r="J1211" s="26"/>
    </row>
    <row r="1212" spans="2:10" ht="15.95" customHeight="1">
      <c r="B1212" s="456"/>
      <c r="E1212" s="457"/>
      <c r="F1212" s="443"/>
      <c r="G1212" s="26"/>
      <c r="H1212" s="26"/>
      <c r="I1212" s="26"/>
      <c r="J1212" s="26"/>
    </row>
    <row r="1213" spans="2:10" ht="15.95" customHeight="1">
      <c r="B1213" s="456"/>
      <c r="E1213" s="457"/>
      <c r="F1213" s="443"/>
      <c r="G1213" s="26"/>
      <c r="H1213" s="26"/>
      <c r="I1213" s="26"/>
      <c r="J1213" s="26"/>
    </row>
    <row r="1214" spans="2:10" ht="15.95" customHeight="1">
      <c r="B1214" s="456"/>
      <c r="E1214" s="457"/>
      <c r="F1214" s="443"/>
      <c r="G1214" s="26"/>
      <c r="H1214" s="26"/>
      <c r="I1214" s="26"/>
      <c r="J1214" s="26"/>
    </row>
    <row r="1215" spans="2:10" ht="15.95" customHeight="1">
      <c r="B1215" s="456"/>
      <c r="E1215" s="457"/>
      <c r="F1215" s="443"/>
      <c r="G1215" s="26"/>
      <c r="H1215" s="26"/>
      <c r="I1215" s="26"/>
      <c r="J1215" s="26"/>
    </row>
    <row r="1216" spans="2:10" ht="15.95" customHeight="1">
      <c r="B1216" s="456"/>
      <c r="E1216" s="457"/>
      <c r="F1216" s="443"/>
      <c r="G1216" s="26"/>
      <c r="H1216" s="26"/>
      <c r="I1216" s="26"/>
      <c r="J1216" s="26"/>
    </row>
    <row r="1217" spans="2:10" ht="15.95" customHeight="1">
      <c r="B1217" s="456"/>
      <c r="E1217" s="457"/>
      <c r="F1217" s="443"/>
      <c r="G1217" s="26"/>
      <c r="H1217" s="26"/>
      <c r="I1217" s="26"/>
      <c r="J1217" s="26"/>
    </row>
    <row r="1218" spans="2:10" ht="15.95" customHeight="1">
      <c r="B1218" s="456"/>
      <c r="E1218" s="457"/>
      <c r="F1218" s="443"/>
      <c r="G1218" s="26"/>
      <c r="H1218" s="26"/>
      <c r="I1218" s="26"/>
      <c r="J1218" s="26"/>
    </row>
    <row r="1219" spans="2:10" ht="15.95" customHeight="1">
      <c r="B1219" s="456"/>
      <c r="E1219" s="457"/>
      <c r="F1219" s="443"/>
      <c r="G1219" s="26"/>
      <c r="H1219" s="26"/>
      <c r="I1219" s="26"/>
      <c r="J1219" s="26"/>
    </row>
    <row r="1220" spans="2:10" ht="15.95" customHeight="1">
      <c r="B1220" s="456"/>
      <c r="E1220" s="457"/>
      <c r="F1220" s="443"/>
      <c r="G1220" s="26"/>
      <c r="H1220" s="26"/>
      <c r="I1220" s="26"/>
      <c r="J1220" s="26"/>
    </row>
    <row r="1221" spans="2:10" ht="15.95" customHeight="1">
      <c r="B1221" s="456"/>
      <c r="E1221" s="457"/>
      <c r="F1221" s="443"/>
      <c r="G1221" s="26"/>
      <c r="H1221" s="26"/>
      <c r="I1221" s="26"/>
      <c r="J1221" s="26"/>
    </row>
    <row r="1222" spans="2:10" ht="15.95" customHeight="1">
      <c r="B1222" s="456"/>
      <c r="E1222" s="457"/>
      <c r="F1222" s="443"/>
      <c r="G1222" s="26"/>
      <c r="H1222" s="26"/>
      <c r="I1222" s="26"/>
      <c r="J1222" s="26"/>
    </row>
    <row r="1223" spans="2:10" ht="15.95" customHeight="1">
      <c r="B1223" s="456"/>
      <c r="E1223" s="457"/>
      <c r="F1223" s="443"/>
      <c r="G1223" s="26"/>
      <c r="H1223" s="26"/>
      <c r="I1223" s="26"/>
      <c r="J1223" s="26"/>
    </row>
    <row r="1224" spans="2:10" ht="15.95" customHeight="1">
      <c r="B1224" s="456"/>
      <c r="E1224" s="457"/>
      <c r="F1224" s="443"/>
      <c r="G1224" s="26"/>
      <c r="H1224" s="26"/>
      <c r="I1224" s="26"/>
      <c r="J1224" s="26"/>
    </row>
    <row r="1225" spans="2:10" ht="15.95" customHeight="1">
      <c r="B1225" s="456"/>
      <c r="E1225" s="457"/>
      <c r="F1225" s="443"/>
      <c r="G1225" s="26"/>
      <c r="H1225" s="26"/>
      <c r="I1225" s="26"/>
      <c r="J1225" s="26"/>
    </row>
    <row r="1226" spans="2:10" ht="15.95" customHeight="1">
      <c r="B1226" s="456"/>
      <c r="E1226" s="457"/>
      <c r="F1226" s="443"/>
      <c r="G1226" s="26"/>
      <c r="H1226" s="26"/>
      <c r="I1226" s="26"/>
      <c r="J1226" s="26"/>
    </row>
    <row r="1227" spans="2:10" ht="15.95" customHeight="1">
      <c r="B1227" s="456"/>
      <c r="E1227" s="457"/>
      <c r="F1227" s="443"/>
      <c r="G1227" s="26"/>
      <c r="H1227" s="26"/>
      <c r="I1227" s="26"/>
      <c r="J1227" s="26"/>
    </row>
    <row r="1228" spans="2:10" ht="15.95" customHeight="1">
      <c r="B1228" s="456"/>
      <c r="E1228" s="457"/>
      <c r="F1228" s="443"/>
      <c r="G1228" s="26"/>
      <c r="H1228" s="26"/>
      <c r="I1228" s="26"/>
      <c r="J1228" s="26"/>
    </row>
    <row r="1229" spans="2:10" ht="15.95" customHeight="1">
      <c r="B1229" s="456"/>
      <c r="E1229" s="457"/>
      <c r="F1229" s="443"/>
      <c r="G1229" s="26"/>
      <c r="H1229" s="26"/>
      <c r="I1229" s="26"/>
      <c r="J1229" s="26"/>
    </row>
    <row r="1230" spans="2:10" ht="15.95" customHeight="1">
      <c r="B1230" s="456"/>
      <c r="E1230" s="457"/>
      <c r="F1230" s="443"/>
      <c r="G1230" s="26"/>
      <c r="H1230" s="26"/>
      <c r="I1230" s="26"/>
      <c r="J1230" s="26"/>
    </row>
    <row r="1231" spans="2:10" ht="15.95" customHeight="1">
      <c r="B1231" s="456"/>
      <c r="E1231" s="457"/>
      <c r="F1231" s="443"/>
      <c r="G1231" s="26"/>
      <c r="H1231" s="26"/>
      <c r="I1231" s="26"/>
      <c r="J1231" s="26"/>
    </row>
    <row r="1232" spans="2:10" ht="15.95" customHeight="1">
      <c r="B1232" s="456"/>
      <c r="E1232" s="457"/>
      <c r="F1232" s="443"/>
      <c r="G1232" s="26"/>
      <c r="H1232" s="26"/>
      <c r="I1232" s="26"/>
      <c r="J1232" s="26"/>
    </row>
    <row r="1233" spans="2:10" ht="15.95" customHeight="1">
      <c r="B1233" s="456"/>
      <c r="E1233" s="457"/>
      <c r="F1233" s="443"/>
      <c r="G1233" s="26"/>
      <c r="H1233" s="26"/>
      <c r="I1233" s="26"/>
      <c r="J1233" s="26"/>
    </row>
    <row r="1234" spans="2:10" ht="15.95" customHeight="1">
      <c r="B1234" s="456"/>
      <c r="E1234" s="457"/>
      <c r="F1234" s="443"/>
      <c r="G1234" s="26"/>
      <c r="H1234" s="26"/>
      <c r="I1234" s="26"/>
      <c r="J1234" s="26"/>
    </row>
    <row r="1235" spans="2:10" ht="15.95" customHeight="1">
      <c r="B1235" s="456"/>
      <c r="E1235" s="457"/>
      <c r="F1235" s="443"/>
      <c r="G1235" s="26"/>
      <c r="H1235" s="26"/>
      <c r="I1235" s="26"/>
      <c r="J1235" s="26"/>
    </row>
    <row r="1236" spans="2:10" ht="15.95" customHeight="1">
      <c r="B1236" s="456"/>
      <c r="E1236" s="457"/>
      <c r="F1236" s="443"/>
      <c r="G1236" s="26"/>
      <c r="H1236" s="26"/>
      <c r="I1236" s="26"/>
      <c r="J1236" s="26"/>
    </row>
    <row r="1237" spans="2:10" ht="15.95" customHeight="1">
      <c r="B1237" s="456"/>
      <c r="E1237" s="457"/>
      <c r="F1237" s="443"/>
      <c r="G1237" s="26"/>
      <c r="H1237" s="26"/>
      <c r="I1237" s="26"/>
      <c r="J1237" s="26"/>
    </row>
    <row r="1238" spans="2:10" ht="15.95" customHeight="1">
      <c r="B1238" s="456"/>
      <c r="E1238" s="457"/>
      <c r="F1238" s="443"/>
      <c r="G1238" s="26"/>
      <c r="H1238" s="26"/>
      <c r="I1238" s="26"/>
      <c r="J1238" s="26"/>
    </row>
    <row r="1239" spans="2:10" ht="15.95" customHeight="1">
      <c r="B1239" s="456"/>
      <c r="E1239" s="457"/>
      <c r="F1239" s="443"/>
      <c r="G1239" s="26"/>
      <c r="H1239" s="26"/>
      <c r="I1239" s="26"/>
      <c r="J1239" s="26"/>
    </row>
    <row r="1240" spans="2:10" ht="15.95" customHeight="1">
      <c r="B1240" s="456"/>
      <c r="E1240" s="457"/>
      <c r="F1240" s="443"/>
      <c r="G1240" s="26"/>
      <c r="H1240" s="26"/>
      <c r="I1240" s="26"/>
      <c r="J1240" s="26"/>
    </row>
    <row r="1241" spans="2:10" ht="15.95" customHeight="1">
      <c r="B1241" s="456"/>
      <c r="E1241" s="457"/>
      <c r="F1241" s="443"/>
      <c r="G1241" s="26"/>
      <c r="H1241" s="26"/>
      <c r="I1241" s="26"/>
      <c r="J1241" s="26"/>
    </row>
    <row r="1242" spans="2:10" ht="15.95" customHeight="1">
      <c r="B1242" s="456"/>
      <c r="E1242" s="457"/>
      <c r="F1242" s="443"/>
      <c r="G1242" s="26"/>
      <c r="H1242" s="26"/>
      <c r="I1242" s="26"/>
      <c r="J1242" s="26"/>
    </row>
    <row r="1243" spans="2:10" ht="15.95" customHeight="1">
      <c r="B1243" s="456"/>
      <c r="E1243" s="457"/>
      <c r="F1243" s="443"/>
      <c r="G1243" s="26"/>
      <c r="H1243" s="26"/>
      <c r="I1243" s="26"/>
      <c r="J1243" s="26"/>
    </row>
    <row r="1244" spans="2:10" ht="15.95" customHeight="1">
      <c r="B1244" s="456"/>
      <c r="E1244" s="457"/>
      <c r="F1244" s="443"/>
      <c r="G1244" s="26"/>
      <c r="H1244" s="26"/>
      <c r="I1244" s="26"/>
      <c r="J1244" s="26"/>
    </row>
    <row r="1245" spans="2:10" ht="15.95" customHeight="1">
      <c r="B1245" s="456"/>
      <c r="E1245" s="457"/>
      <c r="F1245" s="443"/>
      <c r="G1245" s="26"/>
      <c r="H1245" s="26"/>
      <c r="I1245" s="26"/>
      <c r="J1245" s="26"/>
    </row>
    <row r="1246" spans="2:10" ht="15.95" customHeight="1">
      <c r="B1246" s="456"/>
      <c r="E1246" s="457"/>
      <c r="F1246" s="443"/>
      <c r="G1246" s="26"/>
      <c r="H1246" s="26"/>
      <c r="I1246" s="26"/>
      <c r="J1246" s="26"/>
    </row>
    <row r="1247" spans="2:10" ht="15.95" customHeight="1">
      <c r="B1247" s="456"/>
      <c r="E1247" s="457"/>
      <c r="F1247" s="443"/>
      <c r="G1247" s="26"/>
      <c r="H1247" s="26"/>
      <c r="I1247" s="26"/>
      <c r="J1247" s="26"/>
    </row>
    <row r="1248" spans="2:10" ht="15.95" customHeight="1">
      <c r="B1248" s="456"/>
      <c r="E1248" s="457"/>
      <c r="F1248" s="443"/>
      <c r="G1248" s="26"/>
      <c r="H1248" s="26"/>
      <c r="I1248" s="26"/>
      <c r="J1248" s="26"/>
    </row>
    <row r="1249" spans="2:10" ht="15.95" customHeight="1">
      <c r="B1249" s="456"/>
      <c r="E1249" s="457"/>
      <c r="F1249" s="443"/>
      <c r="G1249" s="26"/>
      <c r="H1249" s="26"/>
      <c r="I1249" s="26"/>
      <c r="J1249" s="26"/>
    </row>
    <row r="1250" spans="2:10" ht="15.95" customHeight="1">
      <c r="B1250" s="456"/>
      <c r="E1250" s="457"/>
      <c r="F1250" s="443"/>
      <c r="G1250" s="26"/>
      <c r="H1250" s="26"/>
      <c r="I1250" s="26"/>
      <c r="J1250" s="26"/>
    </row>
    <row r="1251" spans="2:10" ht="15.95" customHeight="1">
      <c r="B1251" s="456"/>
      <c r="E1251" s="457"/>
      <c r="F1251" s="443"/>
      <c r="G1251" s="26"/>
      <c r="H1251" s="26"/>
      <c r="I1251" s="26"/>
      <c r="J1251" s="26"/>
    </row>
    <row r="1252" spans="2:10" ht="15.95" customHeight="1">
      <c r="B1252" s="456"/>
      <c r="E1252" s="457"/>
      <c r="F1252" s="443"/>
      <c r="G1252" s="26"/>
      <c r="H1252" s="26"/>
      <c r="I1252" s="26"/>
      <c r="J1252" s="26"/>
    </row>
    <row r="1253" spans="2:10" ht="15.95" customHeight="1">
      <c r="B1253" s="456"/>
      <c r="E1253" s="457"/>
      <c r="F1253" s="443"/>
      <c r="G1253" s="26"/>
      <c r="H1253" s="26"/>
      <c r="I1253" s="26"/>
      <c r="J1253" s="26"/>
    </row>
    <row r="1254" spans="2:10" ht="15.95" customHeight="1">
      <c r="B1254" s="456"/>
      <c r="E1254" s="457"/>
      <c r="F1254" s="443"/>
      <c r="G1254" s="26"/>
      <c r="H1254" s="26"/>
      <c r="I1254" s="26"/>
      <c r="J1254" s="26"/>
    </row>
    <row r="1255" spans="2:10" ht="15.95" customHeight="1">
      <c r="B1255" s="456"/>
      <c r="E1255" s="457"/>
      <c r="F1255" s="443"/>
      <c r="G1255" s="26"/>
      <c r="H1255" s="26"/>
      <c r="I1255" s="26"/>
      <c r="J1255" s="26"/>
    </row>
    <row r="1256" spans="2:10" ht="15.95" customHeight="1">
      <c r="B1256" s="456"/>
      <c r="E1256" s="457"/>
      <c r="F1256" s="443"/>
      <c r="G1256" s="26"/>
      <c r="H1256" s="26"/>
      <c r="I1256" s="26"/>
      <c r="J1256" s="26"/>
    </row>
    <row r="1257" spans="2:10" ht="15.95" customHeight="1">
      <c r="B1257" s="456"/>
      <c r="E1257" s="457"/>
      <c r="F1257" s="443"/>
      <c r="G1257" s="26"/>
      <c r="H1257" s="26"/>
      <c r="I1257" s="26"/>
      <c r="J1257" s="26"/>
    </row>
    <row r="1258" spans="2:10" ht="15.95" customHeight="1">
      <c r="B1258" s="456"/>
      <c r="E1258" s="457"/>
      <c r="F1258" s="443"/>
      <c r="G1258" s="26"/>
      <c r="H1258" s="26"/>
      <c r="I1258" s="26"/>
      <c r="J1258" s="26"/>
    </row>
    <row r="1259" spans="2:10" ht="15.95" customHeight="1">
      <c r="B1259" s="456"/>
      <c r="E1259" s="457"/>
      <c r="F1259" s="443"/>
      <c r="G1259" s="26"/>
      <c r="H1259" s="26"/>
      <c r="I1259" s="26"/>
      <c r="J1259" s="26"/>
    </row>
    <row r="1260" spans="2:10" ht="15.95" customHeight="1">
      <c r="B1260" s="456"/>
      <c r="E1260" s="457"/>
      <c r="F1260" s="443"/>
      <c r="G1260" s="26"/>
      <c r="H1260" s="26"/>
      <c r="I1260" s="26"/>
      <c r="J1260" s="26"/>
    </row>
    <row r="1261" spans="2:10" ht="15.95" customHeight="1">
      <c r="B1261" s="456"/>
      <c r="E1261" s="457"/>
      <c r="F1261" s="443"/>
      <c r="G1261" s="26"/>
      <c r="H1261" s="26"/>
      <c r="I1261" s="26"/>
      <c r="J1261" s="26"/>
    </row>
    <row r="1262" spans="2:10" ht="15.95" customHeight="1">
      <c r="B1262" s="456"/>
      <c r="E1262" s="457"/>
      <c r="F1262" s="443"/>
      <c r="G1262" s="26"/>
      <c r="H1262" s="26"/>
      <c r="I1262" s="26"/>
      <c r="J1262" s="26"/>
    </row>
    <row r="1263" spans="2:10" ht="15.95" customHeight="1">
      <c r="B1263" s="456"/>
      <c r="E1263" s="457"/>
      <c r="F1263" s="443"/>
      <c r="G1263" s="26"/>
      <c r="H1263" s="26"/>
      <c r="I1263" s="26"/>
      <c r="J1263" s="26"/>
    </row>
    <row r="1264" spans="2:10" ht="15.95" customHeight="1">
      <c r="B1264" s="456"/>
      <c r="E1264" s="457"/>
      <c r="F1264" s="443"/>
      <c r="G1264" s="26"/>
      <c r="H1264" s="26"/>
      <c r="I1264" s="26"/>
      <c r="J1264" s="26"/>
    </row>
    <row r="1265" spans="2:10" ht="15.95" customHeight="1">
      <c r="B1265" s="456"/>
      <c r="E1265" s="457"/>
      <c r="F1265" s="443"/>
      <c r="G1265" s="26"/>
      <c r="H1265" s="26"/>
      <c r="I1265" s="26"/>
      <c r="J1265" s="26"/>
    </row>
    <row r="1266" spans="2:10" ht="15.95" customHeight="1">
      <c r="B1266" s="456"/>
      <c r="E1266" s="457"/>
      <c r="F1266" s="443"/>
      <c r="G1266" s="26"/>
      <c r="H1266" s="26"/>
      <c r="I1266" s="26"/>
      <c r="J1266" s="26"/>
    </row>
    <row r="1267" spans="2:10" ht="15.95" customHeight="1">
      <c r="B1267" s="456"/>
      <c r="E1267" s="457"/>
      <c r="F1267" s="443"/>
      <c r="G1267" s="26"/>
      <c r="H1267" s="26"/>
      <c r="I1267" s="26"/>
      <c r="J1267" s="26"/>
    </row>
    <row r="1268" spans="2:10" ht="15.95" customHeight="1">
      <c r="B1268" s="456"/>
      <c r="E1268" s="457"/>
      <c r="F1268" s="443"/>
      <c r="G1268" s="26"/>
      <c r="H1268" s="26"/>
      <c r="I1268" s="26"/>
      <c r="J1268" s="26"/>
    </row>
    <row r="1269" spans="2:10" ht="15.95" customHeight="1">
      <c r="B1269" s="456"/>
      <c r="E1269" s="457"/>
      <c r="F1269" s="443"/>
      <c r="G1269" s="26"/>
      <c r="H1269" s="26"/>
      <c r="I1269" s="26"/>
      <c r="J1269" s="26"/>
    </row>
    <row r="1270" spans="2:10" ht="15.95" customHeight="1">
      <c r="B1270" s="456"/>
      <c r="E1270" s="457"/>
      <c r="F1270" s="443"/>
      <c r="G1270" s="26"/>
      <c r="H1270" s="26"/>
      <c r="I1270" s="26"/>
      <c r="J1270" s="26"/>
    </row>
    <row r="1271" spans="2:10" ht="15.95" customHeight="1">
      <c r="B1271" s="456"/>
      <c r="E1271" s="457"/>
      <c r="F1271" s="443"/>
      <c r="G1271" s="26"/>
      <c r="H1271" s="26"/>
      <c r="I1271" s="26"/>
      <c r="J1271" s="26"/>
    </row>
    <row r="1272" spans="2:10" ht="15.95" customHeight="1">
      <c r="B1272" s="456"/>
      <c r="E1272" s="457"/>
      <c r="F1272" s="443"/>
      <c r="G1272" s="26"/>
      <c r="H1272" s="26"/>
      <c r="I1272" s="26"/>
      <c r="J1272" s="26"/>
    </row>
    <row r="1273" spans="2:10" ht="15.95" customHeight="1">
      <c r="B1273" s="456"/>
      <c r="E1273" s="457"/>
      <c r="F1273" s="443"/>
      <c r="G1273" s="26"/>
      <c r="H1273" s="26"/>
      <c r="I1273" s="26"/>
      <c r="J1273" s="26"/>
    </row>
    <row r="1274" spans="2:10" ht="15.95" customHeight="1">
      <c r="B1274" s="456"/>
      <c r="E1274" s="457"/>
      <c r="F1274" s="443"/>
      <c r="G1274" s="26"/>
      <c r="H1274" s="26"/>
      <c r="I1274" s="26"/>
      <c r="J1274" s="26"/>
    </row>
    <row r="1275" spans="2:10" ht="15.95" customHeight="1">
      <c r="B1275" s="456"/>
      <c r="E1275" s="457"/>
      <c r="F1275" s="443"/>
      <c r="G1275" s="26"/>
      <c r="H1275" s="26"/>
      <c r="I1275" s="26"/>
      <c r="J1275" s="26"/>
    </row>
    <row r="1276" spans="2:10" ht="15.95" customHeight="1">
      <c r="B1276" s="456"/>
      <c r="E1276" s="457"/>
      <c r="F1276" s="443"/>
      <c r="G1276" s="26"/>
      <c r="H1276" s="26"/>
      <c r="I1276" s="26"/>
      <c r="J1276" s="26"/>
    </row>
    <row r="1277" spans="2:10" ht="15.95" customHeight="1">
      <c r="B1277" s="456"/>
      <c r="E1277" s="457"/>
      <c r="F1277" s="443"/>
      <c r="G1277" s="26"/>
      <c r="H1277" s="26"/>
      <c r="I1277" s="26"/>
      <c r="J1277" s="26"/>
    </row>
    <row r="1278" spans="2:10" ht="15.95" customHeight="1">
      <c r="B1278" s="456"/>
      <c r="E1278" s="457"/>
      <c r="F1278" s="443"/>
      <c r="G1278" s="26"/>
      <c r="H1278" s="26"/>
      <c r="I1278" s="26"/>
      <c r="J1278" s="26"/>
    </row>
    <row r="1279" spans="2:10" ht="15.95" customHeight="1">
      <c r="B1279" s="456"/>
      <c r="E1279" s="457"/>
      <c r="F1279" s="443"/>
      <c r="G1279" s="26"/>
      <c r="H1279" s="26"/>
      <c r="I1279" s="26"/>
      <c r="J1279" s="26"/>
    </row>
    <row r="1280" spans="2:10" ht="15.95" customHeight="1">
      <c r="B1280" s="456"/>
      <c r="E1280" s="457"/>
      <c r="F1280" s="443"/>
      <c r="G1280" s="26"/>
      <c r="H1280" s="26"/>
      <c r="I1280" s="26"/>
      <c r="J1280" s="26"/>
    </row>
    <row r="1281" spans="2:10" ht="15.95" customHeight="1">
      <c r="B1281" s="456"/>
      <c r="E1281" s="457"/>
      <c r="F1281" s="443"/>
      <c r="G1281" s="26"/>
      <c r="H1281" s="26"/>
      <c r="I1281" s="26"/>
      <c r="J1281" s="26"/>
    </row>
    <row r="1282" spans="2:10" ht="15.95" customHeight="1">
      <c r="B1282" s="456"/>
      <c r="E1282" s="457"/>
      <c r="F1282" s="443"/>
      <c r="G1282" s="26"/>
      <c r="H1282" s="26"/>
      <c r="I1282" s="26"/>
      <c r="J1282" s="26"/>
    </row>
    <row r="1283" spans="2:10" ht="15.95" customHeight="1">
      <c r="B1283" s="456"/>
      <c r="E1283" s="457"/>
      <c r="F1283" s="443"/>
      <c r="G1283" s="26"/>
      <c r="H1283" s="26"/>
      <c r="I1283" s="26"/>
      <c r="J1283" s="26"/>
    </row>
    <row r="1284" spans="2:10" ht="15.95" customHeight="1">
      <c r="B1284" s="456"/>
      <c r="E1284" s="457"/>
      <c r="F1284" s="443"/>
      <c r="G1284" s="26"/>
      <c r="H1284" s="26"/>
      <c r="I1284" s="26"/>
      <c r="J1284" s="26"/>
    </row>
    <row r="1285" spans="2:10" ht="15.95" customHeight="1">
      <c r="B1285" s="456"/>
      <c r="E1285" s="457"/>
      <c r="F1285" s="443"/>
      <c r="G1285" s="26"/>
      <c r="H1285" s="26"/>
      <c r="I1285" s="26"/>
      <c r="J1285" s="26"/>
    </row>
    <row r="1286" spans="2:10" ht="15.95" customHeight="1">
      <c r="B1286" s="456"/>
      <c r="E1286" s="457"/>
      <c r="F1286" s="443"/>
      <c r="G1286" s="26"/>
      <c r="H1286" s="26"/>
      <c r="I1286" s="26"/>
      <c r="J1286" s="26"/>
    </row>
    <row r="1287" spans="2:10" ht="15.95" customHeight="1">
      <c r="B1287" s="456"/>
      <c r="E1287" s="457"/>
      <c r="F1287" s="443"/>
      <c r="G1287" s="26"/>
      <c r="H1287" s="26"/>
      <c r="I1287" s="26"/>
      <c r="J1287" s="26"/>
    </row>
    <row r="1288" spans="2:10" ht="15.95" customHeight="1">
      <c r="B1288" s="456"/>
      <c r="E1288" s="457"/>
      <c r="F1288" s="443"/>
      <c r="G1288" s="26"/>
      <c r="H1288" s="26"/>
      <c r="I1288" s="26"/>
      <c r="J1288" s="26"/>
    </row>
    <row r="1289" spans="2:10" ht="15.95" customHeight="1">
      <c r="B1289" s="456"/>
      <c r="E1289" s="457"/>
      <c r="F1289" s="443"/>
      <c r="G1289" s="26"/>
      <c r="H1289" s="26"/>
      <c r="I1289" s="26"/>
      <c r="J1289" s="26"/>
    </row>
    <row r="1290" spans="2:10" ht="15.95" customHeight="1">
      <c r="B1290" s="456"/>
      <c r="E1290" s="457"/>
      <c r="F1290" s="443"/>
      <c r="G1290" s="26"/>
      <c r="H1290" s="26"/>
      <c r="I1290" s="26"/>
      <c r="J1290" s="26"/>
    </row>
    <row r="1291" spans="2:10" ht="15.95" customHeight="1">
      <c r="B1291" s="456"/>
      <c r="E1291" s="457"/>
      <c r="F1291" s="443"/>
      <c r="G1291" s="26"/>
      <c r="H1291" s="26"/>
      <c r="I1291" s="26"/>
      <c r="J1291" s="26"/>
    </row>
    <row r="1292" spans="2:10" ht="15.95" customHeight="1">
      <c r="B1292" s="456"/>
      <c r="E1292" s="457"/>
      <c r="F1292" s="443"/>
      <c r="G1292" s="26"/>
      <c r="H1292" s="26"/>
      <c r="I1292" s="26"/>
      <c r="J1292" s="26"/>
    </row>
    <row r="1293" spans="2:10" ht="15.95" customHeight="1">
      <c r="B1293" s="456"/>
      <c r="E1293" s="457"/>
      <c r="F1293" s="443"/>
      <c r="G1293" s="26"/>
      <c r="H1293" s="26"/>
      <c r="I1293" s="26"/>
      <c r="J1293" s="26"/>
    </row>
    <row r="1294" spans="2:10" ht="15.95" customHeight="1">
      <c r="B1294" s="456"/>
      <c r="E1294" s="457"/>
      <c r="F1294" s="443"/>
      <c r="G1294" s="26"/>
      <c r="H1294" s="26"/>
      <c r="I1294" s="26"/>
      <c r="J1294" s="26"/>
    </row>
    <row r="1295" spans="2:10" ht="15.95" customHeight="1">
      <c r="B1295" s="456"/>
      <c r="E1295" s="457"/>
      <c r="F1295" s="443"/>
      <c r="G1295" s="26"/>
      <c r="H1295" s="26"/>
      <c r="I1295" s="26"/>
      <c r="J1295" s="26"/>
    </row>
    <row r="1296" spans="2:10" ht="15.95" customHeight="1">
      <c r="B1296" s="456"/>
      <c r="E1296" s="457"/>
      <c r="F1296" s="443"/>
      <c r="G1296" s="26"/>
      <c r="H1296" s="26"/>
      <c r="I1296" s="26"/>
      <c r="J1296" s="26"/>
    </row>
    <row r="1297" spans="2:10" ht="15.95" customHeight="1">
      <c r="B1297" s="456"/>
      <c r="E1297" s="457"/>
      <c r="F1297" s="443"/>
      <c r="G1297" s="26"/>
      <c r="H1297" s="26"/>
      <c r="I1297" s="26"/>
      <c r="J1297" s="26"/>
    </row>
    <row r="1298" spans="2:10" ht="15.95" customHeight="1">
      <c r="B1298" s="456"/>
      <c r="E1298" s="457"/>
      <c r="F1298" s="443"/>
      <c r="G1298" s="26"/>
      <c r="H1298" s="26"/>
      <c r="I1298" s="26"/>
      <c r="J1298" s="26"/>
    </row>
    <row r="1299" spans="2:10" ht="15.95" customHeight="1">
      <c r="B1299" s="456"/>
      <c r="E1299" s="457"/>
      <c r="F1299" s="443"/>
      <c r="G1299" s="26"/>
      <c r="H1299" s="26"/>
      <c r="I1299" s="26"/>
      <c r="J1299" s="26"/>
    </row>
    <row r="1300" spans="2:10" ht="15.95" customHeight="1">
      <c r="B1300" s="456"/>
      <c r="E1300" s="457"/>
      <c r="F1300" s="443"/>
      <c r="G1300" s="26"/>
      <c r="H1300" s="26"/>
      <c r="I1300" s="26"/>
      <c r="J1300" s="26"/>
    </row>
    <row r="1301" spans="2:10" ht="15.95" customHeight="1">
      <c r="B1301" s="456"/>
      <c r="E1301" s="457"/>
      <c r="F1301" s="443"/>
      <c r="G1301" s="26"/>
      <c r="H1301" s="26"/>
      <c r="I1301" s="26"/>
      <c r="J1301" s="26"/>
    </row>
    <row r="1302" spans="2:10" ht="15.95" customHeight="1">
      <c r="B1302" s="456"/>
      <c r="E1302" s="457"/>
      <c r="F1302" s="443"/>
      <c r="G1302" s="26"/>
      <c r="H1302" s="26"/>
      <c r="I1302" s="26"/>
      <c r="J1302" s="26"/>
    </row>
    <row r="1303" spans="2:10" ht="15.95" customHeight="1">
      <c r="B1303" s="456"/>
      <c r="E1303" s="457"/>
      <c r="F1303" s="443"/>
      <c r="G1303" s="26"/>
      <c r="H1303" s="26"/>
      <c r="I1303" s="26"/>
      <c r="J1303" s="26"/>
    </row>
    <row r="1304" spans="2:10" ht="15.95" customHeight="1">
      <c r="B1304" s="456"/>
      <c r="E1304" s="457"/>
      <c r="F1304" s="443"/>
      <c r="G1304" s="26"/>
      <c r="H1304" s="26"/>
      <c r="I1304" s="26"/>
      <c r="J1304" s="26"/>
    </row>
    <row r="1305" spans="2:10" ht="15.95" customHeight="1">
      <c r="B1305" s="456"/>
      <c r="E1305" s="457"/>
      <c r="F1305" s="443"/>
      <c r="G1305" s="26"/>
      <c r="H1305" s="26"/>
      <c r="I1305" s="26"/>
      <c r="J1305" s="26"/>
    </row>
    <row r="1306" spans="2:10" ht="15.95" customHeight="1">
      <c r="B1306" s="456"/>
      <c r="E1306" s="457"/>
      <c r="F1306" s="443"/>
      <c r="G1306" s="26"/>
      <c r="H1306" s="26"/>
      <c r="I1306" s="26"/>
      <c r="J1306" s="26"/>
    </row>
    <row r="1307" spans="2:10" ht="15.95" customHeight="1">
      <c r="B1307" s="456"/>
      <c r="E1307" s="457"/>
      <c r="F1307" s="443"/>
      <c r="G1307" s="26"/>
      <c r="H1307" s="26"/>
      <c r="I1307" s="26"/>
      <c r="J1307" s="26"/>
    </row>
    <row r="1308" spans="2:10" ht="15.95" customHeight="1">
      <c r="B1308" s="456"/>
      <c r="E1308" s="457"/>
      <c r="F1308" s="443"/>
      <c r="G1308" s="26"/>
      <c r="H1308" s="26"/>
      <c r="I1308" s="26"/>
      <c r="J1308" s="26"/>
    </row>
    <row r="1309" spans="2:10" ht="15.95" customHeight="1">
      <c r="B1309" s="456"/>
      <c r="E1309" s="457"/>
      <c r="F1309" s="443"/>
      <c r="G1309" s="26"/>
      <c r="H1309" s="26"/>
      <c r="I1309" s="26"/>
      <c r="J1309" s="26"/>
    </row>
    <row r="1310" spans="2:10" ht="15.95" customHeight="1">
      <c r="B1310" s="456"/>
      <c r="E1310" s="457"/>
      <c r="F1310" s="443"/>
      <c r="G1310" s="26"/>
      <c r="H1310" s="26"/>
      <c r="I1310" s="26"/>
      <c r="J1310" s="26"/>
    </row>
    <row r="1311" spans="2:10" ht="15.95" customHeight="1">
      <c r="B1311" s="456"/>
      <c r="E1311" s="457"/>
      <c r="F1311" s="443"/>
      <c r="G1311" s="26"/>
      <c r="H1311" s="26"/>
      <c r="I1311" s="26"/>
      <c r="J1311" s="26"/>
    </row>
    <row r="1312" spans="2:10" ht="15.95" customHeight="1">
      <c r="B1312" s="456"/>
      <c r="E1312" s="457"/>
      <c r="F1312" s="443"/>
      <c r="G1312" s="26"/>
      <c r="H1312" s="26"/>
      <c r="I1312" s="26"/>
      <c r="J1312" s="26"/>
    </row>
    <row r="1313" spans="2:10" ht="15.95" customHeight="1">
      <c r="B1313" s="456"/>
      <c r="E1313" s="457"/>
      <c r="F1313" s="443"/>
      <c r="G1313" s="26"/>
      <c r="H1313" s="26"/>
      <c r="I1313" s="26"/>
      <c r="J1313" s="26"/>
    </row>
    <row r="1314" spans="2:10" ht="15.95" customHeight="1">
      <c r="B1314" s="456"/>
      <c r="E1314" s="457"/>
      <c r="F1314" s="443"/>
      <c r="G1314" s="26"/>
      <c r="H1314" s="26"/>
      <c r="I1314" s="26"/>
      <c r="J1314" s="26"/>
    </row>
    <row r="1315" spans="2:10" ht="15.95" customHeight="1">
      <c r="B1315" s="456"/>
      <c r="E1315" s="457"/>
      <c r="F1315" s="443"/>
      <c r="G1315" s="26"/>
      <c r="H1315" s="26"/>
      <c r="I1315" s="26"/>
      <c r="J1315" s="26"/>
    </row>
    <row r="1316" spans="2:10" ht="15.95" customHeight="1">
      <c r="B1316" s="456"/>
      <c r="E1316" s="457"/>
      <c r="F1316" s="443"/>
      <c r="G1316" s="26"/>
      <c r="H1316" s="26"/>
      <c r="I1316" s="26"/>
      <c r="J1316" s="26"/>
    </row>
    <row r="1317" spans="2:10" ht="15.95" customHeight="1">
      <c r="B1317" s="456"/>
      <c r="E1317" s="457"/>
      <c r="F1317" s="443"/>
      <c r="G1317" s="26"/>
      <c r="H1317" s="26"/>
      <c r="I1317" s="26"/>
      <c r="J1317" s="26"/>
    </row>
    <row r="1318" spans="2:10" ht="15.95" customHeight="1">
      <c r="B1318" s="456"/>
      <c r="E1318" s="457"/>
      <c r="F1318" s="443"/>
      <c r="G1318" s="26"/>
      <c r="H1318" s="26"/>
      <c r="I1318" s="26"/>
      <c r="J1318" s="26"/>
    </row>
    <row r="1319" spans="2:10" ht="15.95" customHeight="1">
      <c r="B1319" s="456"/>
      <c r="E1319" s="457"/>
      <c r="F1319" s="443"/>
      <c r="G1319" s="26"/>
      <c r="H1319" s="26"/>
      <c r="I1319" s="26"/>
      <c r="J1319" s="26"/>
    </row>
    <row r="1320" spans="2:10" ht="15.95" customHeight="1">
      <c r="B1320" s="456"/>
      <c r="E1320" s="457"/>
      <c r="F1320" s="443"/>
      <c r="G1320" s="26"/>
      <c r="H1320" s="26"/>
      <c r="I1320" s="26"/>
      <c r="J1320" s="26"/>
    </row>
    <row r="1321" spans="2:10" ht="15.95" customHeight="1">
      <c r="B1321" s="456"/>
      <c r="E1321" s="457"/>
      <c r="F1321" s="443"/>
      <c r="G1321" s="26"/>
      <c r="H1321" s="26"/>
      <c r="I1321" s="26"/>
      <c r="J1321" s="26"/>
    </row>
    <row r="1322" spans="2:10" ht="15.95" customHeight="1">
      <c r="B1322" s="456"/>
      <c r="E1322" s="457"/>
      <c r="F1322" s="443"/>
      <c r="G1322" s="26"/>
      <c r="H1322" s="26"/>
      <c r="I1322" s="26"/>
      <c r="J1322" s="26"/>
    </row>
    <row r="1323" spans="2:10" ht="15.95" customHeight="1">
      <c r="B1323" s="456"/>
      <c r="E1323" s="457"/>
      <c r="F1323" s="443"/>
      <c r="G1323" s="26"/>
      <c r="H1323" s="26"/>
      <c r="I1323" s="26"/>
      <c r="J1323" s="26"/>
    </row>
    <row r="1324" spans="2:10" ht="15.95" customHeight="1">
      <c r="B1324" s="456"/>
      <c r="E1324" s="457"/>
      <c r="F1324" s="443"/>
      <c r="G1324" s="26"/>
      <c r="H1324" s="26"/>
      <c r="I1324" s="26"/>
      <c r="J1324" s="26"/>
    </row>
    <row r="1325" spans="2:10" ht="15.95" customHeight="1">
      <c r="B1325" s="456"/>
      <c r="E1325" s="457"/>
      <c r="F1325" s="443"/>
      <c r="G1325" s="26"/>
      <c r="H1325" s="26"/>
      <c r="I1325" s="26"/>
      <c r="J1325" s="26"/>
    </row>
    <row r="1326" spans="2:10" ht="15.95" customHeight="1">
      <c r="B1326" s="456"/>
      <c r="E1326" s="457"/>
      <c r="F1326" s="443"/>
      <c r="G1326" s="26"/>
      <c r="H1326" s="26"/>
      <c r="I1326" s="26"/>
      <c r="J1326" s="26"/>
    </row>
    <row r="1327" spans="2:10" ht="15.95" customHeight="1">
      <c r="B1327" s="456"/>
      <c r="E1327" s="457"/>
      <c r="F1327" s="443"/>
      <c r="G1327" s="26"/>
      <c r="H1327" s="26"/>
      <c r="I1327" s="26"/>
      <c r="J1327" s="26"/>
    </row>
    <row r="1328" spans="2:10" ht="15.95" customHeight="1">
      <c r="B1328" s="456"/>
      <c r="E1328" s="457"/>
      <c r="F1328" s="443"/>
      <c r="G1328" s="26"/>
      <c r="H1328" s="26"/>
      <c r="I1328" s="26"/>
      <c r="J1328" s="26"/>
    </row>
    <row r="1329" spans="2:10" ht="15.95" customHeight="1">
      <c r="B1329" s="456"/>
      <c r="E1329" s="457"/>
      <c r="F1329" s="443"/>
      <c r="G1329" s="26"/>
      <c r="H1329" s="26"/>
      <c r="I1329" s="26"/>
      <c r="J1329" s="26"/>
    </row>
    <row r="1330" spans="2:10" ht="15.95" customHeight="1">
      <c r="B1330" s="456"/>
      <c r="E1330" s="457"/>
      <c r="F1330" s="443"/>
      <c r="G1330" s="26"/>
      <c r="H1330" s="26"/>
      <c r="I1330" s="26"/>
      <c r="J1330" s="26"/>
    </row>
    <row r="1331" spans="2:10" ht="15.95" customHeight="1">
      <c r="B1331" s="456"/>
      <c r="E1331" s="457"/>
      <c r="F1331" s="443"/>
      <c r="G1331" s="26"/>
      <c r="H1331" s="26"/>
      <c r="I1331" s="26"/>
      <c r="J1331" s="26"/>
    </row>
    <row r="1332" spans="2:10" ht="15.95" customHeight="1">
      <c r="B1332" s="456"/>
      <c r="E1332" s="457"/>
      <c r="F1332" s="443"/>
      <c r="G1332" s="26"/>
      <c r="H1332" s="26"/>
      <c r="I1332" s="26"/>
      <c r="J1332" s="26"/>
    </row>
    <row r="1333" spans="2:10" ht="15.95" customHeight="1">
      <c r="B1333" s="456"/>
      <c r="E1333" s="457"/>
      <c r="F1333" s="443"/>
      <c r="G1333" s="26"/>
      <c r="H1333" s="26"/>
      <c r="I1333" s="26"/>
      <c r="J1333" s="26"/>
    </row>
    <row r="1334" spans="2:10" ht="15.95" customHeight="1">
      <c r="B1334" s="456"/>
      <c r="E1334" s="457"/>
      <c r="F1334" s="443"/>
      <c r="G1334" s="26"/>
      <c r="H1334" s="26"/>
      <c r="I1334" s="26"/>
      <c r="J1334" s="26"/>
    </row>
    <row r="1335" spans="2:10" ht="15.95" customHeight="1">
      <c r="B1335" s="456"/>
      <c r="E1335" s="457"/>
      <c r="F1335" s="443"/>
      <c r="G1335" s="26"/>
      <c r="H1335" s="26"/>
      <c r="I1335" s="26"/>
      <c r="J1335" s="26"/>
    </row>
    <row r="1336" spans="2:10" ht="15.95" customHeight="1">
      <c r="B1336" s="456"/>
      <c r="E1336" s="457"/>
      <c r="F1336" s="443"/>
      <c r="G1336" s="26"/>
      <c r="H1336" s="26"/>
      <c r="I1336" s="26"/>
      <c r="J1336" s="26"/>
    </row>
    <row r="1337" spans="2:10" ht="15.95" customHeight="1">
      <c r="B1337" s="456"/>
      <c r="E1337" s="457"/>
      <c r="F1337" s="443"/>
      <c r="G1337" s="26"/>
      <c r="H1337" s="26"/>
      <c r="I1337" s="26"/>
      <c r="J1337" s="26"/>
    </row>
    <row r="1338" spans="2:10" ht="15.95" customHeight="1">
      <c r="B1338" s="456"/>
      <c r="E1338" s="457"/>
      <c r="F1338" s="443"/>
      <c r="G1338" s="26"/>
      <c r="H1338" s="26"/>
      <c r="I1338" s="26"/>
      <c r="J1338" s="26"/>
    </row>
    <row r="1339" spans="2:10" ht="15.95" customHeight="1">
      <c r="B1339" s="456"/>
      <c r="E1339" s="457"/>
      <c r="F1339" s="443"/>
      <c r="G1339" s="26"/>
      <c r="H1339" s="26"/>
      <c r="I1339" s="26"/>
      <c r="J1339" s="26"/>
    </row>
    <row r="1340" spans="2:10" ht="15.95" customHeight="1">
      <c r="B1340" s="456"/>
      <c r="E1340" s="457"/>
      <c r="F1340" s="443"/>
      <c r="G1340" s="26"/>
      <c r="H1340" s="26"/>
      <c r="I1340" s="26"/>
      <c r="J1340" s="26"/>
    </row>
    <row r="1341" spans="2:10" ht="15.95" customHeight="1">
      <c r="B1341" s="456"/>
      <c r="E1341" s="457"/>
      <c r="F1341" s="443"/>
      <c r="G1341" s="26"/>
      <c r="H1341" s="26"/>
      <c r="I1341" s="26"/>
      <c r="J1341" s="26"/>
    </row>
    <row r="1342" spans="2:10" ht="15.95" customHeight="1">
      <c r="B1342" s="456"/>
      <c r="E1342" s="457"/>
      <c r="F1342" s="443"/>
      <c r="G1342" s="26"/>
      <c r="H1342" s="26"/>
      <c r="I1342" s="26"/>
      <c r="J1342" s="26"/>
    </row>
    <row r="1343" spans="2:10" ht="15.95" customHeight="1">
      <c r="B1343" s="456"/>
      <c r="E1343" s="457"/>
      <c r="F1343" s="443"/>
      <c r="G1343" s="26"/>
      <c r="H1343" s="26"/>
      <c r="I1343" s="26"/>
      <c r="J1343" s="26"/>
    </row>
    <row r="1344" spans="2:10" ht="15.95" customHeight="1">
      <c r="B1344" s="456"/>
      <c r="E1344" s="457"/>
      <c r="F1344" s="443"/>
      <c r="G1344" s="26"/>
      <c r="H1344" s="26"/>
      <c r="I1344" s="26"/>
      <c r="J1344" s="26"/>
    </row>
    <row r="1345" spans="2:10" ht="15.95" customHeight="1">
      <c r="B1345" s="456"/>
      <c r="E1345" s="457"/>
      <c r="F1345" s="443"/>
      <c r="G1345" s="26"/>
      <c r="H1345" s="26"/>
      <c r="I1345" s="26"/>
      <c r="J1345" s="26"/>
    </row>
    <row r="1346" spans="2:10" ht="15.95" customHeight="1">
      <c r="B1346" s="456"/>
      <c r="E1346" s="457"/>
      <c r="F1346" s="443"/>
      <c r="G1346" s="26"/>
      <c r="H1346" s="26"/>
      <c r="I1346" s="26"/>
      <c r="J1346" s="26"/>
    </row>
    <row r="1347" spans="2:10" ht="15.95" customHeight="1">
      <c r="B1347" s="456"/>
      <c r="E1347" s="457"/>
      <c r="F1347" s="443"/>
      <c r="G1347" s="26"/>
      <c r="H1347" s="26"/>
      <c r="I1347" s="26"/>
      <c r="J1347" s="26"/>
    </row>
    <row r="1348" spans="2:10" ht="15.95" customHeight="1">
      <c r="B1348" s="456"/>
      <c r="E1348" s="457"/>
      <c r="F1348" s="443"/>
      <c r="G1348" s="26"/>
      <c r="H1348" s="26"/>
      <c r="I1348" s="26"/>
      <c r="J1348" s="26"/>
    </row>
    <row r="1349" spans="2:10" ht="15.95" customHeight="1">
      <c r="B1349" s="456"/>
      <c r="E1349" s="457"/>
      <c r="F1349" s="443"/>
      <c r="G1349" s="26"/>
      <c r="H1349" s="26"/>
      <c r="I1349" s="26"/>
      <c r="J1349" s="26"/>
    </row>
    <row r="1350" spans="2:10" ht="15.95" customHeight="1">
      <c r="B1350" s="456"/>
      <c r="E1350" s="457"/>
      <c r="F1350" s="443"/>
      <c r="G1350" s="26"/>
      <c r="H1350" s="26"/>
      <c r="I1350" s="26"/>
      <c r="J1350" s="26"/>
    </row>
    <row r="1351" spans="2:10" ht="15.95" customHeight="1">
      <c r="B1351" s="456"/>
      <c r="E1351" s="457"/>
      <c r="F1351" s="443"/>
      <c r="G1351" s="26"/>
      <c r="H1351" s="26"/>
      <c r="I1351" s="26"/>
      <c r="J1351" s="26"/>
    </row>
    <row r="1352" spans="2:10" ht="15.95" customHeight="1">
      <c r="B1352" s="456"/>
      <c r="E1352" s="457"/>
      <c r="F1352" s="443"/>
      <c r="G1352" s="26"/>
      <c r="H1352" s="26"/>
      <c r="I1352" s="26"/>
      <c r="J1352" s="26"/>
    </row>
    <row r="1353" spans="2:10" ht="15.95" customHeight="1">
      <c r="B1353" s="456"/>
      <c r="E1353" s="457"/>
      <c r="F1353" s="443"/>
      <c r="G1353" s="26"/>
      <c r="H1353" s="26"/>
      <c r="I1353" s="26"/>
      <c r="J1353" s="26"/>
    </row>
    <row r="1354" spans="2:10" ht="15.95" customHeight="1">
      <c r="B1354" s="456"/>
      <c r="E1354" s="457"/>
      <c r="F1354" s="443"/>
      <c r="G1354" s="26"/>
      <c r="H1354" s="26"/>
      <c r="I1354" s="26"/>
      <c r="J1354" s="26"/>
    </row>
    <row r="1355" spans="2:10" ht="15.95" customHeight="1">
      <c r="B1355" s="456"/>
      <c r="E1355" s="457"/>
      <c r="F1355" s="443"/>
      <c r="G1355" s="26"/>
      <c r="H1355" s="26"/>
      <c r="I1355" s="26"/>
      <c r="J1355" s="26"/>
    </row>
    <row r="1356" spans="2:10" ht="15.95" customHeight="1">
      <c r="B1356" s="456"/>
      <c r="E1356" s="457"/>
      <c r="F1356" s="443"/>
      <c r="G1356" s="26"/>
      <c r="H1356" s="26"/>
      <c r="I1356" s="26"/>
      <c r="J1356" s="26"/>
    </row>
    <row r="1357" spans="2:10" ht="15.95" customHeight="1">
      <c r="B1357" s="456"/>
      <c r="E1357" s="457"/>
      <c r="F1357" s="443"/>
      <c r="G1357" s="26"/>
      <c r="H1357" s="26"/>
      <c r="I1357" s="26"/>
      <c r="J1357" s="26"/>
    </row>
    <row r="1358" spans="2:10" ht="15.95" customHeight="1">
      <c r="B1358" s="456"/>
      <c r="E1358" s="457"/>
      <c r="F1358" s="443"/>
      <c r="G1358" s="26"/>
      <c r="H1358" s="26"/>
      <c r="I1358" s="26"/>
      <c r="J1358" s="26"/>
    </row>
    <row r="1359" spans="2:10" ht="15.95" customHeight="1">
      <c r="B1359" s="456"/>
      <c r="E1359" s="457"/>
      <c r="F1359" s="443"/>
      <c r="G1359" s="26"/>
      <c r="H1359" s="26"/>
      <c r="I1359" s="26"/>
      <c r="J1359" s="26"/>
    </row>
    <row r="1360" spans="2:10" ht="15.95" customHeight="1">
      <c r="B1360" s="456"/>
      <c r="E1360" s="457"/>
      <c r="F1360" s="443"/>
      <c r="G1360" s="26"/>
      <c r="H1360" s="26"/>
      <c r="I1360" s="26"/>
      <c r="J1360" s="26"/>
    </row>
    <row r="1361" spans="2:10" ht="15.95" customHeight="1">
      <c r="B1361" s="456"/>
      <c r="E1361" s="457"/>
      <c r="F1361" s="443"/>
      <c r="G1361" s="26"/>
      <c r="H1361" s="26"/>
      <c r="I1361" s="26"/>
      <c r="J1361" s="26"/>
    </row>
    <row r="1362" spans="2:10" ht="15.95" customHeight="1">
      <c r="B1362" s="456"/>
      <c r="E1362" s="457"/>
      <c r="F1362" s="443"/>
      <c r="G1362" s="26"/>
      <c r="H1362" s="26"/>
      <c r="I1362" s="26"/>
      <c r="J1362" s="26"/>
    </row>
    <row r="1363" spans="2:10" ht="15.95" customHeight="1">
      <c r="B1363" s="456"/>
      <c r="E1363" s="457"/>
      <c r="F1363" s="443"/>
      <c r="G1363" s="26"/>
      <c r="H1363" s="26"/>
      <c r="I1363" s="26"/>
      <c r="J1363" s="26"/>
    </row>
    <row r="1364" spans="2:10" ht="15.95" customHeight="1">
      <c r="B1364" s="456"/>
      <c r="E1364" s="457"/>
      <c r="F1364" s="443"/>
      <c r="G1364" s="26"/>
      <c r="H1364" s="26"/>
      <c r="I1364" s="26"/>
      <c r="J1364" s="26"/>
    </row>
    <row r="1365" spans="2:10" ht="15.95" customHeight="1">
      <c r="B1365" s="456"/>
      <c r="E1365" s="457"/>
      <c r="F1365" s="443"/>
      <c r="G1365" s="26"/>
      <c r="H1365" s="26"/>
      <c r="I1365" s="26"/>
      <c r="J1365" s="26"/>
    </row>
    <row r="1366" spans="2:10" ht="15.95" customHeight="1">
      <c r="B1366" s="456"/>
      <c r="E1366" s="457"/>
      <c r="F1366" s="443"/>
      <c r="G1366" s="26"/>
      <c r="H1366" s="26"/>
      <c r="I1366" s="26"/>
      <c r="J1366" s="26"/>
    </row>
    <row r="1367" spans="2:10" ht="15.95" customHeight="1">
      <c r="B1367" s="456"/>
      <c r="E1367" s="457"/>
      <c r="F1367" s="443"/>
      <c r="G1367" s="26"/>
      <c r="H1367" s="26"/>
      <c r="I1367" s="26"/>
      <c r="J1367" s="26"/>
    </row>
    <row r="1368" spans="2:10" ht="15.95" customHeight="1">
      <c r="B1368" s="456"/>
      <c r="E1368" s="457"/>
      <c r="F1368" s="443"/>
      <c r="G1368" s="26"/>
      <c r="H1368" s="26"/>
      <c r="I1368" s="26"/>
      <c r="J1368" s="26"/>
    </row>
    <row r="1369" spans="2:10" ht="15.95" customHeight="1">
      <c r="B1369" s="456"/>
      <c r="E1369" s="457"/>
      <c r="F1369" s="443"/>
      <c r="G1369" s="26"/>
      <c r="H1369" s="26"/>
      <c r="I1369" s="26"/>
      <c r="J1369" s="26"/>
    </row>
    <row r="1370" spans="2:10" ht="15.95" customHeight="1">
      <c r="B1370" s="456"/>
      <c r="E1370" s="457"/>
      <c r="F1370" s="443"/>
      <c r="G1370" s="26"/>
      <c r="H1370" s="26"/>
      <c r="I1370" s="26"/>
      <c r="J1370" s="26"/>
    </row>
    <row r="1371" spans="2:10" ht="15.95" customHeight="1">
      <c r="B1371" s="456"/>
      <c r="E1371" s="457"/>
      <c r="F1371" s="443"/>
      <c r="G1371" s="26"/>
      <c r="H1371" s="26"/>
      <c r="I1371" s="26"/>
      <c r="J1371" s="26"/>
    </row>
    <row r="1372" spans="2:10" ht="15.95" customHeight="1">
      <c r="B1372" s="456"/>
      <c r="E1372" s="457"/>
      <c r="F1372" s="443"/>
      <c r="G1372" s="26"/>
      <c r="H1372" s="26"/>
      <c r="I1372" s="26"/>
      <c r="J1372" s="26"/>
    </row>
    <row r="1373" spans="2:10" ht="15.95" customHeight="1">
      <c r="B1373" s="456"/>
      <c r="E1373" s="457"/>
      <c r="F1373" s="443"/>
      <c r="G1373" s="26"/>
      <c r="H1373" s="26"/>
      <c r="I1373" s="26"/>
      <c r="J1373" s="26"/>
    </row>
    <row r="1374" spans="2:10" ht="15.95" customHeight="1">
      <c r="B1374" s="456"/>
      <c r="E1374" s="457"/>
      <c r="F1374" s="443"/>
      <c r="G1374" s="26"/>
      <c r="H1374" s="26"/>
      <c r="I1374" s="26"/>
      <c r="J1374" s="26"/>
    </row>
    <row r="1375" spans="2:10" ht="15.95" customHeight="1">
      <c r="B1375" s="456"/>
      <c r="E1375" s="457"/>
      <c r="F1375" s="443"/>
      <c r="G1375" s="26"/>
      <c r="H1375" s="26"/>
      <c r="I1375" s="26"/>
      <c r="J1375" s="26"/>
    </row>
    <row r="1376" spans="2:10" ht="15.95" customHeight="1">
      <c r="B1376" s="456"/>
      <c r="E1376" s="457"/>
      <c r="F1376" s="443"/>
      <c r="G1376" s="26"/>
      <c r="H1376" s="26"/>
      <c r="I1376" s="26"/>
      <c r="J1376" s="26"/>
    </row>
    <row r="1377" spans="2:10" ht="15.95" customHeight="1">
      <c r="B1377" s="456"/>
      <c r="E1377" s="457"/>
      <c r="F1377" s="443"/>
      <c r="G1377" s="26"/>
      <c r="H1377" s="26"/>
      <c r="I1377" s="26"/>
      <c r="J1377" s="26"/>
    </row>
    <row r="1378" spans="2:10" ht="15.95" customHeight="1">
      <c r="B1378" s="456"/>
      <c r="E1378" s="457"/>
      <c r="F1378" s="443"/>
      <c r="G1378" s="26"/>
      <c r="H1378" s="26"/>
      <c r="I1378" s="26"/>
      <c r="J1378" s="26"/>
    </row>
    <row r="1379" spans="2:10" ht="15.95" customHeight="1">
      <c r="B1379" s="456"/>
      <c r="E1379" s="457"/>
      <c r="F1379" s="443"/>
      <c r="G1379" s="26"/>
      <c r="H1379" s="26"/>
      <c r="I1379" s="26"/>
      <c r="J1379" s="26"/>
    </row>
    <row r="1380" spans="2:10" ht="15.95" customHeight="1">
      <c r="B1380" s="456"/>
      <c r="E1380" s="457"/>
      <c r="F1380" s="443"/>
      <c r="G1380" s="26"/>
      <c r="H1380" s="26"/>
      <c r="I1380" s="26"/>
      <c r="J1380" s="26"/>
    </row>
    <row r="1381" spans="2:10" ht="15.95" customHeight="1">
      <c r="B1381" s="456"/>
      <c r="E1381" s="457"/>
      <c r="F1381" s="443"/>
      <c r="G1381" s="26"/>
      <c r="H1381" s="26"/>
      <c r="I1381" s="26"/>
      <c r="J1381" s="26"/>
    </row>
    <row r="1382" spans="2:10" ht="15.95" customHeight="1">
      <c r="B1382" s="456"/>
      <c r="E1382" s="457"/>
      <c r="F1382" s="443"/>
      <c r="G1382" s="26"/>
      <c r="H1382" s="26"/>
      <c r="I1382" s="26"/>
      <c r="J1382" s="26"/>
    </row>
    <row r="1383" spans="2:10" ht="15.95" customHeight="1">
      <c r="B1383" s="456"/>
      <c r="E1383" s="457"/>
      <c r="F1383" s="443"/>
      <c r="G1383" s="26"/>
      <c r="H1383" s="26"/>
      <c r="I1383" s="26"/>
      <c r="J1383" s="26"/>
    </row>
    <row r="1384" spans="2:10" ht="15.95" customHeight="1">
      <c r="B1384" s="456"/>
      <c r="E1384" s="457"/>
      <c r="F1384" s="443"/>
      <c r="G1384" s="26"/>
      <c r="H1384" s="26"/>
      <c r="I1384" s="26"/>
      <c r="J1384" s="26"/>
    </row>
    <row r="1385" spans="2:10" ht="15.95" customHeight="1">
      <c r="B1385" s="456"/>
      <c r="E1385" s="457"/>
      <c r="F1385" s="443"/>
      <c r="G1385" s="26"/>
      <c r="H1385" s="26"/>
      <c r="I1385" s="26"/>
      <c r="J1385" s="26"/>
    </row>
    <row r="1386" spans="2:10" ht="15.95" customHeight="1">
      <c r="B1386" s="456"/>
      <c r="E1386" s="457"/>
      <c r="F1386" s="443"/>
      <c r="G1386" s="26"/>
      <c r="H1386" s="26"/>
      <c r="I1386" s="26"/>
      <c r="J1386" s="26"/>
    </row>
    <row r="1387" spans="2:10" ht="15.95" customHeight="1">
      <c r="B1387" s="456"/>
      <c r="E1387" s="457"/>
      <c r="F1387" s="443"/>
      <c r="G1387" s="26"/>
      <c r="H1387" s="26"/>
      <c r="I1387" s="26"/>
      <c r="J1387" s="26"/>
    </row>
    <row r="1388" spans="2:10" ht="15.95" customHeight="1">
      <c r="B1388" s="456"/>
      <c r="E1388" s="457"/>
      <c r="F1388" s="443"/>
      <c r="G1388" s="26"/>
      <c r="H1388" s="26"/>
      <c r="I1388" s="26"/>
      <c r="J1388" s="26"/>
    </row>
    <row r="1389" spans="2:10" ht="15.95" customHeight="1">
      <c r="B1389" s="456"/>
      <c r="E1389" s="457"/>
      <c r="F1389" s="443"/>
      <c r="G1389" s="26"/>
      <c r="H1389" s="26"/>
      <c r="I1389" s="26"/>
      <c r="J1389" s="26"/>
    </row>
    <row r="1390" spans="2:10" ht="15.95" customHeight="1">
      <c r="B1390" s="456"/>
      <c r="E1390" s="457"/>
      <c r="F1390" s="443"/>
      <c r="G1390" s="26"/>
      <c r="H1390" s="26"/>
      <c r="I1390" s="26"/>
      <c r="J1390" s="26"/>
    </row>
    <row r="1391" spans="2:10" ht="15.95" customHeight="1">
      <c r="B1391" s="456"/>
      <c r="E1391" s="457"/>
      <c r="F1391" s="443"/>
      <c r="G1391" s="26"/>
      <c r="H1391" s="26"/>
      <c r="I1391" s="26"/>
      <c r="J1391" s="26"/>
    </row>
    <row r="1392" spans="2:10" ht="15.95" customHeight="1">
      <c r="B1392" s="456"/>
      <c r="E1392" s="457"/>
      <c r="F1392" s="443"/>
      <c r="G1392" s="26"/>
      <c r="H1392" s="26"/>
      <c r="I1392" s="26"/>
      <c r="J1392" s="26"/>
    </row>
    <row r="1393" spans="2:10" ht="15.95" customHeight="1">
      <c r="B1393" s="456"/>
      <c r="E1393" s="457"/>
      <c r="F1393" s="443"/>
      <c r="G1393" s="26"/>
      <c r="H1393" s="26"/>
      <c r="I1393" s="26"/>
      <c r="J1393" s="26"/>
    </row>
    <row r="1394" spans="2:10" ht="15.95" customHeight="1">
      <c r="B1394" s="456"/>
      <c r="E1394" s="457"/>
      <c r="F1394" s="443"/>
      <c r="G1394" s="26"/>
      <c r="H1394" s="26"/>
      <c r="I1394" s="26"/>
      <c r="J1394" s="26"/>
    </row>
    <row r="1395" spans="2:10" ht="15.95" customHeight="1">
      <c r="B1395" s="456"/>
      <c r="E1395" s="457"/>
      <c r="F1395" s="443"/>
      <c r="G1395" s="26"/>
      <c r="H1395" s="26"/>
      <c r="I1395" s="26"/>
      <c r="J1395" s="26"/>
    </row>
    <row r="1396" spans="2:10" ht="15.95" customHeight="1">
      <c r="B1396" s="456"/>
      <c r="E1396" s="457"/>
      <c r="F1396" s="443"/>
      <c r="G1396" s="26"/>
      <c r="H1396" s="26"/>
      <c r="I1396" s="26"/>
      <c r="J1396" s="26"/>
    </row>
    <row r="1397" spans="2:10" ht="15.95" customHeight="1">
      <c r="B1397" s="456"/>
      <c r="E1397" s="457"/>
      <c r="F1397" s="443"/>
      <c r="G1397" s="26"/>
      <c r="H1397" s="26"/>
      <c r="I1397" s="26"/>
      <c r="J1397" s="26"/>
    </row>
    <row r="1398" spans="2:10" ht="15.95" customHeight="1">
      <c r="B1398" s="456"/>
      <c r="E1398" s="457"/>
      <c r="F1398" s="443"/>
      <c r="G1398" s="26"/>
      <c r="H1398" s="26"/>
      <c r="I1398" s="26"/>
      <c r="J1398" s="26"/>
    </row>
    <row r="1399" spans="2:10" ht="15.95" customHeight="1">
      <c r="B1399" s="456"/>
      <c r="E1399" s="457"/>
      <c r="F1399" s="443"/>
      <c r="G1399" s="26"/>
      <c r="H1399" s="26"/>
      <c r="I1399" s="26"/>
      <c r="J1399" s="26"/>
    </row>
    <row r="1400" spans="2:10" ht="15.95" customHeight="1">
      <c r="B1400" s="456"/>
      <c r="E1400" s="457"/>
      <c r="F1400" s="443"/>
      <c r="G1400" s="26"/>
      <c r="H1400" s="26"/>
      <c r="I1400" s="26"/>
      <c r="J1400" s="26"/>
    </row>
    <row r="1401" spans="2:10" ht="15.95" customHeight="1">
      <c r="B1401" s="456"/>
      <c r="E1401" s="457"/>
      <c r="F1401" s="443"/>
      <c r="G1401" s="26"/>
      <c r="H1401" s="26"/>
      <c r="I1401" s="26"/>
      <c r="J1401" s="26"/>
    </row>
    <row r="1402" spans="2:10" ht="15.95" customHeight="1">
      <c r="B1402" s="456"/>
      <c r="E1402" s="457"/>
      <c r="F1402" s="443"/>
      <c r="G1402" s="26"/>
      <c r="H1402" s="26"/>
      <c r="I1402" s="26"/>
      <c r="J1402" s="26"/>
    </row>
    <row r="1403" spans="2:10" ht="15.95" customHeight="1">
      <c r="B1403" s="456"/>
      <c r="E1403" s="457"/>
      <c r="F1403" s="443"/>
      <c r="G1403" s="26"/>
      <c r="H1403" s="26"/>
      <c r="I1403" s="26"/>
      <c r="J1403" s="26"/>
    </row>
    <row r="1404" spans="2:10" ht="15.95" customHeight="1">
      <c r="B1404" s="456"/>
      <c r="E1404" s="457"/>
      <c r="F1404" s="443"/>
      <c r="G1404" s="26"/>
      <c r="H1404" s="26"/>
      <c r="I1404" s="26"/>
      <c r="J1404" s="26"/>
    </row>
    <row r="1405" spans="2:10" ht="15.95" customHeight="1">
      <c r="B1405" s="456"/>
      <c r="E1405" s="457"/>
      <c r="F1405" s="443"/>
      <c r="G1405" s="26"/>
      <c r="H1405" s="26"/>
      <c r="I1405" s="26"/>
      <c r="J1405" s="26"/>
    </row>
    <row r="1406" spans="2:10" ht="15.95" customHeight="1">
      <c r="B1406" s="456"/>
      <c r="E1406" s="457"/>
      <c r="F1406" s="443"/>
      <c r="G1406" s="26"/>
      <c r="H1406" s="26"/>
      <c r="I1406" s="26"/>
      <c r="J1406" s="26"/>
    </row>
    <row r="1407" spans="2:10" ht="15.95" customHeight="1">
      <c r="B1407" s="456"/>
      <c r="E1407" s="457"/>
      <c r="F1407" s="443"/>
      <c r="G1407" s="26"/>
      <c r="H1407" s="26"/>
      <c r="I1407" s="26"/>
      <c r="J1407" s="26"/>
    </row>
    <row r="1408" spans="2:10" ht="15.95" customHeight="1">
      <c r="B1408" s="456"/>
      <c r="E1408" s="457"/>
      <c r="F1408" s="443"/>
      <c r="G1408" s="26"/>
      <c r="H1408" s="26"/>
      <c r="I1408" s="26"/>
      <c r="J1408" s="26"/>
    </row>
    <row r="1409" spans="2:10" ht="15.95" customHeight="1">
      <c r="B1409" s="456"/>
      <c r="E1409" s="457"/>
      <c r="F1409" s="443"/>
      <c r="G1409" s="26"/>
      <c r="H1409" s="26"/>
      <c r="I1409" s="26"/>
      <c r="J1409" s="26"/>
    </row>
    <row r="1410" spans="2:10" ht="15.95" customHeight="1">
      <c r="B1410" s="456"/>
      <c r="E1410" s="457"/>
      <c r="F1410" s="443"/>
      <c r="G1410" s="26"/>
      <c r="H1410" s="26"/>
      <c r="I1410" s="26"/>
      <c r="J1410" s="26"/>
    </row>
    <row r="1411" spans="2:10" ht="15.95" customHeight="1">
      <c r="B1411" s="456"/>
      <c r="E1411" s="457"/>
      <c r="F1411" s="443"/>
      <c r="G1411" s="26"/>
      <c r="H1411" s="26"/>
      <c r="I1411" s="26"/>
      <c r="J1411" s="26"/>
    </row>
    <row r="1412" spans="2:10" ht="15.95" customHeight="1">
      <c r="B1412" s="456"/>
      <c r="E1412" s="457"/>
      <c r="F1412" s="443"/>
      <c r="G1412" s="26"/>
      <c r="H1412" s="26"/>
      <c r="I1412" s="26"/>
      <c r="J1412" s="26"/>
    </row>
    <row r="1413" spans="2:10" ht="15.95" customHeight="1">
      <c r="B1413" s="456"/>
      <c r="E1413" s="457"/>
      <c r="F1413" s="443"/>
      <c r="G1413" s="26"/>
      <c r="H1413" s="26"/>
      <c r="I1413" s="26"/>
      <c r="J1413" s="26"/>
    </row>
    <row r="1414" spans="2:10" ht="15.95" customHeight="1">
      <c r="B1414" s="456"/>
      <c r="E1414" s="457"/>
      <c r="F1414" s="443"/>
      <c r="G1414" s="26"/>
      <c r="H1414" s="26"/>
      <c r="I1414" s="26"/>
      <c r="J1414" s="26"/>
    </row>
    <row r="1415" spans="2:10" ht="15.95" customHeight="1">
      <c r="B1415" s="456"/>
      <c r="E1415" s="457"/>
      <c r="F1415" s="443"/>
      <c r="G1415" s="26"/>
      <c r="H1415" s="26"/>
      <c r="I1415" s="26"/>
      <c r="J1415" s="26"/>
    </row>
    <row r="1416" spans="2:10" ht="15.95" customHeight="1">
      <c r="B1416" s="456"/>
      <c r="E1416" s="457"/>
      <c r="F1416" s="443"/>
      <c r="G1416" s="26"/>
      <c r="H1416" s="26"/>
      <c r="I1416" s="26"/>
      <c r="J1416" s="26"/>
    </row>
    <row r="1417" spans="2:10" ht="15.95" customHeight="1">
      <c r="B1417" s="456"/>
      <c r="E1417" s="457"/>
      <c r="F1417" s="443"/>
      <c r="G1417" s="26"/>
      <c r="H1417" s="26"/>
      <c r="I1417" s="26"/>
      <c r="J1417" s="26"/>
    </row>
    <row r="1418" spans="2:10" ht="15.95" customHeight="1">
      <c r="B1418" s="456"/>
      <c r="E1418" s="457"/>
      <c r="F1418" s="443"/>
      <c r="G1418" s="26"/>
      <c r="H1418" s="26"/>
      <c r="I1418" s="26"/>
      <c r="J1418" s="26"/>
    </row>
    <row r="1419" spans="2:10" ht="15.95" customHeight="1">
      <c r="B1419" s="456"/>
      <c r="E1419" s="457"/>
      <c r="F1419" s="443"/>
      <c r="G1419" s="26"/>
      <c r="H1419" s="26"/>
      <c r="I1419" s="26"/>
      <c r="J1419" s="26"/>
    </row>
    <row r="1420" spans="2:10" ht="15.95" customHeight="1">
      <c r="B1420" s="456"/>
      <c r="E1420" s="457"/>
      <c r="F1420" s="443"/>
      <c r="G1420" s="26"/>
      <c r="H1420" s="26"/>
      <c r="I1420" s="26"/>
      <c r="J1420" s="26"/>
    </row>
    <row r="1421" spans="2:10" ht="15.95" customHeight="1">
      <c r="B1421" s="456"/>
      <c r="E1421" s="457"/>
      <c r="F1421" s="443"/>
      <c r="G1421" s="26"/>
      <c r="H1421" s="26"/>
      <c r="I1421" s="26"/>
      <c r="J1421" s="26"/>
    </row>
    <row r="1422" spans="2:10" ht="15.95" customHeight="1">
      <c r="B1422" s="456"/>
      <c r="E1422" s="457"/>
      <c r="F1422" s="443"/>
      <c r="G1422" s="26"/>
      <c r="H1422" s="26"/>
      <c r="I1422" s="26"/>
      <c r="J1422" s="26"/>
    </row>
    <row r="1423" spans="2:10" ht="15.95" customHeight="1">
      <c r="B1423" s="456"/>
      <c r="E1423" s="457"/>
      <c r="F1423" s="443"/>
      <c r="G1423" s="26"/>
      <c r="H1423" s="26"/>
      <c r="I1423" s="26"/>
      <c r="J1423" s="26"/>
    </row>
    <row r="1424" spans="2:10" ht="15.95" customHeight="1">
      <c r="B1424" s="456"/>
      <c r="E1424" s="457"/>
      <c r="F1424" s="443"/>
      <c r="G1424" s="26"/>
      <c r="H1424" s="26"/>
      <c r="I1424" s="26"/>
      <c r="J1424" s="26"/>
    </row>
    <row r="1425" spans="2:10" ht="15.95" customHeight="1">
      <c r="B1425" s="456"/>
      <c r="E1425" s="457"/>
      <c r="F1425" s="443"/>
      <c r="G1425" s="26"/>
      <c r="H1425" s="26"/>
      <c r="I1425" s="26"/>
      <c r="J1425" s="26"/>
    </row>
    <row r="1426" spans="2:10" ht="15.95" customHeight="1">
      <c r="B1426" s="456"/>
      <c r="E1426" s="457"/>
      <c r="F1426" s="443"/>
      <c r="G1426" s="26"/>
      <c r="H1426" s="26"/>
      <c r="I1426" s="26"/>
      <c r="J1426" s="26"/>
    </row>
    <row r="1427" spans="2:10" ht="15.95" customHeight="1">
      <c r="B1427" s="456"/>
      <c r="E1427" s="457"/>
      <c r="F1427" s="443"/>
      <c r="G1427" s="26"/>
      <c r="H1427" s="26"/>
      <c r="I1427" s="26"/>
      <c r="J1427" s="26"/>
    </row>
    <row r="1428" spans="2:10" ht="15.95" customHeight="1">
      <c r="B1428" s="456"/>
      <c r="E1428" s="457"/>
      <c r="F1428" s="443"/>
      <c r="G1428" s="26"/>
      <c r="H1428" s="26"/>
      <c r="I1428" s="26"/>
      <c r="J1428" s="26"/>
    </row>
    <row r="1429" spans="2:10" ht="15.95" customHeight="1">
      <c r="B1429" s="456"/>
      <c r="E1429" s="457"/>
      <c r="F1429" s="443"/>
      <c r="G1429" s="26"/>
      <c r="H1429" s="26"/>
      <c r="I1429" s="26"/>
      <c r="J1429" s="26"/>
    </row>
    <row r="1430" spans="2:10" ht="15.95" customHeight="1">
      <c r="B1430" s="456"/>
      <c r="E1430" s="457"/>
      <c r="F1430" s="443"/>
      <c r="G1430" s="26"/>
      <c r="H1430" s="26"/>
      <c r="I1430" s="26"/>
      <c r="J1430" s="26"/>
    </row>
    <row r="1431" spans="2:10" ht="15.95" customHeight="1">
      <c r="B1431" s="456"/>
      <c r="E1431" s="457"/>
      <c r="F1431" s="443"/>
      <c r="G1431" s="26"/>
      <c r="H1431" s="26"/>
      <c r="I1431" s="26"/>
      <c r="J1431" s="26"/>
    </row>
    <row r="1432" spans="2:10" ht="15.95" customHeight="1">
      <c r="B1432" s="456"/>
      <c r="E1432" s="457"/>
      <c r="F1432" s="443"/>
      <c r="G1432" s="26"/>
      <c r="H1432" s="26"/>
      <c r="I1432" s="26"/>
      <c r="J1432" s="26"/>
    </row>
    <row r="1433" spans="2:10" ht="15.95" customHeight="1">
      <c r="B1433" s="456"/>
      <c r="E1433" s="457"/>
      <c r="F1433" s="443"/>
      <c r="G1433" s="26"/>
      <c r="H1433" s="26"/>
      <c r="I1433" s="26"/>
      <c r="J1433" s="26"/>
    </row>
    <row r="1434" spans="2:10" ht="15.95" customHeight="1">
      <c r="B1434" s="456"/>
      <c r="E1434" s="457"/>
      <c r="F1434" s="443"/>
      <c r="G1434" s="26"/>
      <c r="H1434" s="26"/>
      <c r="I1434" s="26"/>
      <c r="J1434" s="26"/>
    </row>
    <row r="1435" spans="2:10" ht="15.95" customHeight="1">
      <c r="B1435" s="456"/>
      <c r="E1435" s="457"/>
      <c r="F1435" s="443"/>
      <c r="G1435" s="26"/>
      <c r="H1435" s="26"/>
      <c r="I1435" s="26"/>
      <c r="J1435" s="26"/>
    </row>
    <row r="1436" spans="2:10" ht="15.95" customHeight="1">
      <c r="B1436" s="456"/>
      <c r="E1436" s="457"/>
      <c r="F1436" s="443"/>
      <c r="G1436" s="26"/>
      <c r="H1436" s="26"/>
      <c r="I1436" s="26"/>
      <c r="J1436" s="26"/>
    </row>
    <row r="1437" spans="2:10" ht="15.95" customHeight="1">
      <c r="B1437" s="456"/>
      <c r="E1437" s="457"/>
      <c r="F1437" s="443"/>
      <c r="G1437" s="26"/>
      <c r="H1437" s="26"/>
      <c r="I1437" s="26"/>
      <c r="J1437" s="26"/>
    </row>
    <row r="1438" spans="2:10" ht="15.95" customHeight="1">
      <c r="B1438" s="456"/>
      <c r="E1438" s="457"/>
      <c r="F1438" s="443"/>
      <c r="G1438" s="26"/>
      <c r="H1438" s="26"/>
      <c r="I1438" s="26"/>
      <c r="J1438" s="26"/>
    </row>
    <row r="1439" spans="2:10" ht="15.95" customHeight="1">
      <c r="B1439" s="456"/>
      <c r="E1439" s="457"/>
      <c r="F1439" s="443"/>
      <c r="G1439" s="26"/>
      <c r="H1439" s="26"/>
      <c r="I1439" s="26"/>
      <c r="J1439" s="26"/>
    </row>
    <row r="1440" spans="2:10" ht="15.95" customHeight="1">
      <c r="B1440" s="456"/>
      <c r="E1440" s="457"/>
      <c r="F1440" s="443"/>
      <c r="G1440" s="26"/>
      <c r="H1440" s="26"/>
      <c r="I1440" s="26"/>
      <c r="J1440" s="26"/>
    </row>
    <row r="1441" spans="2:10" ht="15.95" customHeight="1">
      <c r="B1441" s="456"/>
      <c r="E1441" s="457"/>
      <c r="F1441" s="443"/>
      <c r="G1441" s="26"/>
      <c r="H1441" s="26"/>
      <c r="I1441" s="26"/>
      <c r="J1441" s="26"/>
    </row>
    <row r="1442" spans="2:10" ht="15.95" customHeight="1">
      <c r="B1442" s="456"/>
      <c r="E1442" s="457"/>
      <c r="F1442" s="443"/>
      <c r="G1442" s="26"/>
      <c r="H1442" s="26"/>
      <c r="I1442" s="26"/>
      <c r="J1442" s="26"/>
    </row>
    <row r="1443" spans="2:10" ht="15.95" customHeight="1">
      <c r="B1443" s="456"/>
      <c r="E1443" s="457"/>
      <c r="F1443" s="443"/>
      <c r="G1443" s="26"/>
      <c r="H1443" s="26"/>
      <c r="I1443" s="26"/>
      <c r="J1443" s="26"/>
    </row>
    <row r="1444" spans="2:10" ht="15.95" customHeight="1">
      <c r="B1444" s="456"/>
      <c r="E1444" s="457"/>
      <c r="F1444" s="443"/>
      <c r="G1444" s="26"/>
      <c r="H1444" s="26"/>
      <c r="I1444" s="26"/>
      <c r="J1444" s="26"/>
    </row>
    <row r="1445" spans="2:10" ht="15.95" customHeight="1">
      <c r="B1445" s="456"/>
      <c r="E1445" s="457"/>
      <c r="F1445" s="443"/>
      <c r="G1445" s="26"/>
      <c r="H1445" s="26"/>
      <c r="I1445" s="26"/>
      <c r="J1445" s="26"/>
    </row>
    <row r="1446" spans="2:10" ht="15.95" customHeight="1">
      <c r="B1446" s="456"/>
      <c r="E1446" s="457"/>
      <c r="F1446" s="443"/>
      <c r="G1446" s="26"/>
      <c r="H1446" s="26"/>
      <c r="I1446" s="26"/>
      <c r="J1446" s="26"/>
    </row>
    <row r="1447" spans="2:10" ht="15.95" customHeight="1">
      <c r="B1447" s="456"/>
      <c r="E1447" s="457"/>
      <c r="F1447" s="443"/>
      <c r="G1447" s="26"/>
      <c r="H1447" s="26"/>
      <c r="I1447" s="26"/>
      <c r="J1447" s="26"/>
    </row>
    <row r="1448" spans="2:10" ht="15.95" customHeight="1">
      <c r="B1448" s="456"/>
      <c r="E1448" s="457"/>
      <c r="F1448" s="443"/>
      <c r="G1448" s="26"/>
      <c r="H1448" s="26"/>
      <c r="I1448" s="26"/>
      <c r="J1448" s="26"/>
    </row>
    <row r="1449" spans="2:10" ht="15.95" customHeight="1">
      <c r="B1449" s="456"/>
      <c r="E1449" s="457"/>
      <c r="F1449" s="443"/>
      <c r="G1449" s="26"/>
      <c r="H1449" s="26"/>
      <c r="I1449" s="26"/>
      <c r="J1449" s="26"/>
    </row>
    <row r="1450" spans="2:10" ht="15.95" customHeight="1">
      <c r="B1450" s="456"/>
      <c r="E1450" s="457"/>
      <c r="F1450" s="443"/>
      <c r="G1450" s="26"/>
      <c r="H1450" s="26"/>
      <c r="I1450" s="26"/>
      <c r="J1450" s="26"/>
    </row>
    <row r="1451" spans="2:10" ht="15.95" customHeight="1">
      <c r="B1451" s="456"/>
      <c r="E1451" s="457"/>
      <c r="F1451" s="443"/>
      <c r="G1451" s="26"/>
      <c r="H1451" s="26"/>
      <c r="I1451" s="26"/>
      <c r="J1451" s="26"/>
    </row>
    <row r="1452" spans="2:10" ht="15.95" customHeight="1">
      <c r="B1452" s="456"/>
      <c r="E1452" s="457"/>
      <c r="F1452" s="443"/>
      <c r="G1452" s="26"/>
      <c r="H1452" s="26"/>
      <c r="I1452" s="26"/>
      <c r="J1452" s="26"/>
    </row>
    <row r="1453" spans="2:10" ht="15.95" customHeight="1">
      <c r="B1453" s="456"/>
      <c r="E1453" s="457"/>
      <c r="F1453" s="443"/>
      <c r="G1453" s="26"/>
      <c r="H1453" s="26"/>
      <c r="I1453" s="26"/>
      <c r="J1453" s="26"/>
    </row>
    <row r="1454" spans="2:10" ht="15.95" customHeight="1">
      <c r="B1454" s="456"/>
      <c r="E1454" s="457"/>
      <c r="F1454" s="443"/>
      <c r="G1454" s="26"/>
      <c r="H1454" s="26"/>
      <c r="I1454" s="26"/>
      <c r="J1454" s="26"/>
    </row>
    <row r="1455" spans="2:10" ht="15.95" customHeight="1">
      <c r="B1455" s="456"/>
      <c r="E1455" s="457"/>
      <c r="F1455" s="443"/>
      <c r="G1455" s="26"/>
      <c r="H1455" s="26"/>
      <c r="I1455" s="26"/>
      <c r="J1455" s="26"/>
    </row>
    <row r="1456" spans="2:10" ht="15.95" customHeight="1">
      <c r="B1456" s="456"/>
      <c r="E1456" s="457"/>
      <c r="F1456" s="443"/>
      <c r="G1456" s="26"/>
      <c r="H1456" s="26"/>
      <c r="I1456" s="26"/>
      <c r="J1456" s="26"/>
    </row>
    <row r="1457" spans="2:10" ht="15.95" customHeight="1">
      <c r="B1457" s="456"/>
      <c r="E1457" s="457"/>
      <c r="F1457" s="443"/>
      <c r="G1457" s="26"/>
      <c r="H1457" s="26"/>
      <c r="I1457" s="26"/>
      <c r="J1457" s="26"/>
    </row>
    <row r="1458" spans="2:10" ht="15.95" customHeight="1">
      <c r="B1458" s="456"/>
      <c r="E1458" s="457"/>
      <c r="F1458" s="443"/>
      <c r="G1458" s="26"/>
      <c r="H1458" s="26"/>
      <c r="I1458" s="26"/>
      <c r="J1458" s="26"/>
    </row>
    <row r="1459" spans="2:10" ht="15.95" customHeight="1">
      <c r="B1459" s="456"/>
      <c r="E1459" s="457"/>
      <c r="F1459" s="443"/>
      <c r="G1459" s="26"/>
      <c r="H1459" s="26"/>
      <c r="I1459" s="26"/>
      <c r="J1459" s="26"/>
    </row>
    <row r="1460" spans="2:10" ht="15.95" customHeight="1">
      <c r="B1460" s="456"/>
      <c r="E1460" s="457"/>
      <c r="F1460" s="443"/>
      <c r="G1460" s="26"/>
      <c r="H1460" s="26"/>
      <c r="I1460" s="26"/>
      <c r="J1460" s="26"/>
    </row>
    <row r="1461" spans="2:10" ht="15.95" customHeight="1">
      <c r="B1461" s="456"/>
      <c r="E1461" s="457"/>
      <c r="F1461" s="443"/>
      <c r="G1461" s="26"/>
      <c r="H1461" s="26"/>
      <c r="I1461" s="26"/>
      <c r="J1461" s="26"/>
    </row>
    <row r="1462" spans="2:10" ht="15.95" customHeight="1">
      <c r="B1462" s="456"/>
      <c r="E1462" s="457"/>
      <c r="F1462" s="443"/>
      <c r="G1462" s="26"/>
      <c r="H1462" s="26"/>
      <c r="I1462" s="26"/>
      <c r="J1462" s="26"/>
    </row>
    <row r="1463" spans="2:10" ht="15.95" customHeight="1">
      <c r="B1463" s="456"/>
      <c r="E1463" s="457"/>
      <c r="F1463" s="443"/>
      <c r="G1463" s="26"/>
      <c r="H1463" s="26"/>
      <c r="I1463" s="26"/>
      <c r="J1463" s="26"/>
    </row>
    <row r="1464" spans="2:10" ht="15.95" customHeight="1">
      <c r="B1464" s="456"/>
      <c r="E1464" s="457"/>
      <c r="F1464" s="443"/>
      <c r="G1464" s="26"/>
      <c r="H1464" s="26"/>
      <c r="I1464" s="26"/>
      <c r="J1464" s="26"/>
    </row>
    <row r="1465" spans="2:10" ht="15.95" customHeight="1">
      <c r="B1465" s="456"/>
      <c r="E1465" s="457"/>
      <c r="F1465" s="443"/>
      <c r="G1465" s="26"/>
      <c r="H1465" s="26"/>
      <c r="I1465" s="26"/>
      <c r="J1465" s="26"/>
    </row>
    <row r="1466" spans="2:10" ht="15.95" customHeight="1">
      <c r="B1466" s="456"/>
      <c r="E1466" s="457"/>
      <c r="F1466" s="443"/>
      <c r="G1466" s="26"/>
      <c r="H1466" s="26"/>
      <c r="I1466" s="26"/>
      <c r="J1466" s="26"/>
    </row>
    <row r="1467" spans="2:10" ht="15.95" customHeight="1">
      <c r="B1467" s="456"/>
      <c r="E1467" s="457"/>
      <c r="F1467" s="443"/>
      <c r="G1467" s="26"/>
      <c r="H1467" s="26"/>
      <c r="I1467" s="26"/>
      <c r="J1467" s="26"/>
    </row>
    <row r="1468" spans="2:10" ht="15.95" customHeight="1">
      <c r="B1468" s="456"/>
      <c r="E1468" s="457"/>
      <c r="F1468" s="443"/>
      <c r="G1468" s="26"/>
      <c r="H1468" s="26"/>
      <c r="I1468" s="26"/>
      <c r="J1468" s="26"/>
    </row>
    <row r="1469" spans="2:10" ht="15.95" customHeight="1">
      <c r="B1469" s="456"/>
      <c r="E1469" s="457"/>
      <c r="F1469" s="443"/>
      <c r="G1469" s="26"/>
      <c r="H1469" s="26"/>
      <c r="I1469" s="26"/>
      <c r="J1469" s="26"/>
    </row>
    <row r="1470" spans="2:10" ht="15.95" customHeight="1">
      <c r="B1470" s="456"/>
      <c r="E1470" s="457"/>
      <c r="F1470" s="443"/>
      <c r="G1470" s="26"/>
      <c r="H1470" s="26"/>
      <c r="I1470" s="26"/>
      <c r="J1470" s="26"/>
    </row>
    <row r="1471" spans="2:10" ht="15.95" customHeight="1">
      <c r="B1471" s="456"/>
      <c r="E1471" s="457"/>
      <c r="F1471" s="443"/>
      <c r="G1471" s="26"/>
      <c r="H1471" s="26"/>
      <c r="I1471" s="26"/>
      <c r="J1471" s="26"/>
    </row>
    <row r="1472" spans="2:10" ht="15.95" customHeight="1">
      <c r="B1472" s="456"/>
      <c r="E1472" s="457"/>
      <c r="F1472" s="443"/>
      <c r="G1472" s="26"/>
      <c r="H1472" s="26"/>
      <c r="I1472" s="26"/>
      <c r="J1472" s="26"/>
    </row>
    <row r="1473" spans="2:10" ht="15.95" customHeight="1">
      <c r="B1473" s="456"/>
      <c r="E1473" s="457"/>
      <c r="F1473" s="443"/>
      <c r="G1473" s="26"/>
      <c r="H1473" s="26"/>
      <c r="I1473" s="26"/>
      <c r="J1473" s="26"/>
    </row>
    <row r="1474" spans="2:10" ht="15.95" customHeight="1">
      <c r="B1474" s="456"/>
      <c r="E1474" s="457"/>
      <c r="F1474" s="443"/>
      <c r="G1474" s="26"/>
      <c r="H1474" s="26"/>
      <c r="I1474" s="26"/>
      <c r="J1474" s="26"/>
    </row>
    <row r="1475" spans="2:10" ht="15.95" customHeight="1">
      <c r="B1475" s="456"/>
      <c r="E1475" s="457"/>
      <c r="F1475" s="443"/>
      <c r="G1475" s="26"/>
      <c r="H1475" s="26"/>
      <c r="I1475" s="26"/>
      <c r="J1475" s="26"/>
    </row>
    <row r="1476" spans="2:10" ht="15.95" customHeight="1">
      <c r="B1476" s="456"/>
      <c r="E1476" s="457"/>
      <c r="F1476" s="443"/>
      <c r="G1476" s="26"/>
      <c r="H1476" s="26"/>
      <c r="I1476" s="26"/>
      <c r="J1476" s="26"/>
    </row>
    <row r="1477" spans="2:10" ht="15.95" customHeight="1">
      <c r="B1477" s="456"/>
      <c r="E1477" s="457"/>
      <c r="F1477" s="443"/>
      <c r="G1477" s="26"/>
      <c r="H1477" s="26"/>
      <c r="I1477" s="26"/>
      <c r="J1477" s="26"/>
    </row>
    <row r="1478" spans="2:10" ht="15.95" customHeight="1">
      <c r="B1478" s="456"/>
      <c r="E1478" s="457"/>
      <c r="F1478" s="443"/>
      <c r="G1478" s="26"/>
      <c r="H1478" s="26"/>
      <c r="I1478" s="26"/>
      <c r="J1478" s="26"/>
    </row>
    <row r="1479" spans="2:10" ht="15.95" customHeight="1">
      <c r="B1479" s="456"/>
      <c r="E1479" s="457"/>
      <c r="F1479" s="443"/>
      <c r="G1479" s="26"/>
      <c r="H1479" s="26"/>
      <c r="I1479" s="26"/>
      <c r="J1479" s="26"/>
    </row>
    <row r="1480" spans="2:10" ht="15.95" customHeight="1">
      <c r="B1480" s="456"/>
      <c r="E1480" s="457"/>
      <c r="F1480" s="443"/>
      <c r="G1480" s="26"/>
      <c r="H1480" s="26"/>
      <c r="I1480" s="26"/>
      <c r="J1480" s="26"/>
    </row>
    <row r="1481" spans="2:10" ht="15.95" customHeight="1">
      <c r="B1481" s="456"/>
      <c r="E1481" s="457"/>
      <c r="F1481" s="443"/>
      <c r="G1481" s="26"/>
      <c r="H1481" s="26"/>
      <c r="I1481" s="26"/>
      <c r="J1481" s="26"/>
    </row>
    <row r="1482" spans="2:10" ht="15.95" customHeight="1">
      <c r="B1482" s="456"/>
      <c r="E1482" s="457"/>
      <c r="F1482" s="443"/>
      <c r="G1482" s="26"/>
      <c r="H1482" s="26"/>
      <c r="I1482" s="26"/>
      <c r="J1482" s="26"/>
    </row>
    <row r="1483" spans="2:10" ht="15.95" customHeight="1">
      <c r="B1483" s="456"/>
      <c r="E1483" s="457"/>
      <c r="F1483" s="443"/>
      <c r="G1483" s="26"/>
      <c r="H1483" s="26"/>
      <c r="I1483" s="26"/>
      <c r="J1483" s="26"/>
    </row>
    <row r="1484" spans="2:10" ht="15.95" customHeight="1">
      <c r="B1484" s="456"/>
      <c r="E1484" s="457"/>
      <c r="F1484" s="443"/>
      <c r="G1484" s="26"/>
      <c r="H1484" s="26"/>
      <c r="I1484" s="26"/>
      <c r="J1484" s="26"/>
    </row>
    <row r="1485" spans="2:10" ht="15.95" customHeight="1">
      <c r="B1485" s="456"/>
      <c r="E1485" s="457"/>
      <c r="F1485" s="443"/>
      <c r="G1485" s="26"/>
      <c r="H1485" s="26"/>
      <c r="I1485" s="26"/>
      <c r="J1485" s="26"/>
    </row>
    <row r="1486" spans="2:10" ht="15.95" customHeight="1">
      <c r="B1486" s="456"/>
      <c r="E1486" s="457"/>
      <c r="F1486" s="443"/>
      <c r="G1486" s="26"/>
      <c r="H1486" s="26"/>
      <c r="I1486" s="26"/>
      <c r="J1486" s="26"/>
    </row>
    <row r="1487" spans="2:10" ht="15.95" customHeight="1">
      <c r="B1487" s="456"/>
      <c r="E1487" s="457"/>
      <c r="F1487" s="443"/>
      <c r="G1487" s="26"/>
      <c r="H1487" s="26"/>
      <c r="I1487" s="26"/>
      <c r="J1487" s="26"/>
    </row>
    <row r="1488" spans="2:10" ht="15.95" customHeight="1">
      <c r="B1488" s="456"/>
      <c r="E1488" s="457"/>
      <c r="F1488" s="443"/>
      <c r="G1488" s="26"/>
      <c r="H1488" s="26"/>
      <c r="I1488" s="26"/>
      <c r="J1488" s="26"/>
    </row>
    <row r="1489" spans="2:10" ht="15.95" customHeight="1">
      <c r="B1489" s="456"/>
      <c r="E1489" s="457"/>
      <c r="F1489" s="443"/>
      <c r="G1489" s="26"/>
      <c r="H1489" s="26"/>
      <c r="I1489" s="26"/>
      <c r="J1489" s="26"/>
    </row>
    <row r="1490" spans="2:10" ht="15.95" customHeight="1">
      <c r="B1490" s="456"/>
      <c r="E1490" s="457"/>
      <c r="F1490" s="443"/>
      <c r="G1490" s="26"/>
      <c r="H1490" s="26"/>
      <c r="I1490" s="26"/>
      <c r="J1490" s="26"/>
    </row>
    <row r="1491" spans="2:10" ht="15.95" customHeight="1">
      <c r="B1491" s="456"/>
      <c r="E1491" s="457"/>
      <c r="F1491" s="443"/>
      <c r="G1491" s="26"/>
      <c r="H1491" s="26"/>
      <c r="I1491" s="26"/>
      <c r="J1491" s="26"/>
    </row>
    <row r="1492" spans="2:10" ht="15.95" customHeight="1">
      <c r="B1492" s="456"/>
      <c r="E1492" s="457"/>
      <c r="F1492" s="443"/>
      <c r="G1492" s="26"/>
      <c r="H1492" s="26"/>
      <c r="I1492" s="26"/>
      <c r="J1492" s="26"/>
    </row>
    <row r="1493" spans="2:10" ht="15.95" customHeight="1">
      <c r="B1493" s="456"/>
      <c r="E1493" s="457"/>
      <c r="F1493" s="443"/>
      <c r="G1493" s="26"/>
      <c r="H1493" s="26"/>
      <c r="I1493" s="26"/>
      <c r="J1493" s="26"/>
    </row>
    <row r="1494" spans="2:10" ht="15.95" customHeight="1">
      <c r="B1494" s="456"/>
      <c r="E1494" s="457"/>
      <c r="F1494" s="443"/>
      <c r="G1494" s="26"/>
      <c r="H1494" s="26"/>
      <c r="I1494" s="26"/>
      <c r="J1494" s="26"/>
    </row>
    <row r="1495" spans="2:10" ht="15.95" customHeight="1">
      <c r="B1495" s="456"/>
      <c r="E1495" s="457"/>
      <c r="F1495" s="443"/>
      <c r="G1495" s="26"/>
      <c r="H1495" s="26"/>
      <c r="I1495" s="26"/>
      <c r="J1495" s="26"/>
    </row>
    <row r="1496" spans="2:10" ht="15.95" customHeight="1">
      <c r="B1496" s="456"/>
      <c r="E1496" s="457"/>
      <c r="F1496" s="443"/>
      <c r="G1496" s="26"/>
      <c r="H1496" s="26"/>
      <c r="I1496" s="26"/>
      <c r="J1496" s="26"/>
    </row>
    <row r="1497" spans="2:10" ht="15.95" customHeight="1">
      <c r="B1497" s="456"/>
      <c r="E1497" s="457"/>
      <c r="F1497" s="443"/>
      <c r="G1497" s="26"/>
      <c r="H1497" s="26"/>
      <c r="I1497" s="26"/>
      <c r="J1497" s="26"/>
    </row>
    <row r="1498" spans="2:10" ht="15.95" customHeight="1">
      <c r="B1498" s="456"/>
      <c r="E1498" s="457"/>
      <c r="F1498" s="443"/>
      <c r="G1498" s="26"/>
      <c r="H1498" s="26"/>
      <c r="I1498" s="26"/>
      <c r="J1498" s="26"/>
    </row>
    <row r="1499" spans="2:10" ht="15.95" customHeight="1">
      <c r="B1499" s="456"/>
      <c r="E1499" s="457"/>
      <c r="F1499" s="443"/>
      <c r="G1499" s="26"/>
      <c r="H1499" s="26"/>
      <c r="I1499" s="26"/>
      <c r="J1499" s="26"/>
    </row>
    <row r="1500" spans="2:10" ht="15.95" customHeight="1">
      <c r="B1500" s="456"/>
      <c r="E1500" s="457"/>
      <c r="F1500" s="443"/>
      <c r="G1500" s="26"/>
      <c r="H1500" s="26"/>
      <c r="I1500" s="26"/>
      <c r="J1500" s="26"/>
    </row>
    <row r="1501" spans="2:10" ht="15.95" customHeight="1">
      <c r="B1501" s="456"/>
      <c r="E1501" s="457"/>
      <c r="F1501" s="443"/>
      <c r="G1501" s="26"/>
      <c r="H1501" s="26"/>
      <c r="I1501" s="26"/>
      <c r="J1501" s="26"/>
    </row>
    <row r="1502" spans="2:10" ht="15.95" customHeight="1">
      <c r="B1502" s="456"/>
      <c r="E1502" s="457"/>
      <c r="F1502" s="443"/>
      <c r="G1502" s="26"/>
      <c r="H1502" s="26"/>
      <c r="I1502" s="26"/>
      <c r="J1502" s="26"/>
    </row>
    <row r="1503" spans="2:10" ht="15.95" customHeight="1">
      <c r="B1503" s="456"/>
      <c r="E1503" s="457"/>
      <c r="F1503" s="443"/>
      <c r="G1503" s="26"/>
      <c r="H1503" s="26"/>
      <c r="I1503" s="26"/>
      <c r="J1503" s="26"/>
    </row>
    <row r="1504" spans="2:10" ht="15.95" customHeight="1">
      <c r="B1504" s="456"/>
      <c r="E1504" s="457"/>
      <c r="F1504" s="443"/>
      <c r="G1504" s="26"/>
      <c r="H1504" s="26"/>
      <c r="I1504" s="26"/>
      <c r="J1504" s="26"/>
    </row>
    <row r="1505" spans="2:10" ht="15.95" customHeight="1">
      <c r="B1505" s="456"/>
      <c r="E1505" s="457"/>
      <c r="F1505" s="443"/>
      <c r="G1505" s="26"/>
      <c r="H1505" s="26"/>
      <c r="I1505" s="26"/>
      <c r="J1505" s="26"/>
    </row>
    <row r="1506" spans="2:10" ht="15.95" customHeight="1">
      <c r="B1506" s="456"/>
      <c r="E1506" s="457"/>
      <c r="F1506" s="443"/>
      <c r="G1506" s="26"/>
      <c r="H1506" s="26"/>
      <c r="I1506" s="26"/>
      <c r="J1506" s="26"/>
    </row>
    <row r="1507" spans="2:10" ht="15.95" customHeight="1">
      <c r="B1507" s="456"/>
      <c r="E1507" s="457"/>
      <c r="F1507" s="443"/>
      <c r="G1507" s="26"/>
      <c r="H1507" s="26"/>
      <c r="I1507" s="26"/>
      <c r="J1507" s="26"/>
    </row>
    <row r="1508" spans="2:10" ht="15.95" customHeight="1">
      <c r="B1508" s="456"/>
      <c r="E1508" s="457"/>
      <c r="F1508" s="443"/>
      <c r="G1508" s="26"/>
      <c r="H1508" s="26"/>
      <c r="I1508" s="26"/>
      <c r="J1508" s="26"/>
    </row>
    <row r="1509" spans="2:10" ht="15.95" customHeight="1">
      <c r="B1509" s="456"/>
      <c r="E1509" s="457"/>
      <c r="F1509" s="443"/>
      <c r="G1509" s="26"/>
      <c r="H1509" s="26"/>
      <c r="I1509" s="26"/>
      <c r="J1509" s="26"/>
    </row>
    <row r="1510" spans="2:10" ht="15.95" customHeight="1">
      <c r="B1510" s="456"/>
      <c r="E1510" s="457"/>
      <c r="F1510" s="443"/>
      <c r="G1510" s="26"/>
      <c r="H1510" s="26"/>
      <c r="I1510" s="26"/>
      <c r="J1510" s="26"/>
    </row>
    <row r="1511" spans="2:10" ht="15.95" customHeight="1">
      <c r="B1511" s="456"/>
      <c r="E1511" s="457"/>
      <c r="F1511" s="443"/>
      <c r="G1511" s="26"/>
      <c r="H1511" s="26"/>
      <c r="I1511" s="26"/>
      <c r="J1511" s="26"/>
    </row>
    <row r="1512" spans="2:10" ht="15.95" customHeight="1">
      <c r="B1512" s="456"/>
      <c r="E1512" s="457"/>
      <c r="F1512" s="443"/>
      <c r="G1512" s="26"/>
      <c r="H1512" s="26"/>
      <c r="I1512" s="26"/>
      <c r="J1512" s="26"/>
    </row>
    <row r="1513" spans="2:10" ht="15.95" customHeight="1">
      <c r="B1513" s="456"/>
      <c r="E1513" s="457"/>
      <c r="F1513" s="443"/>
      <c r="G1513" s="26"/>
      <c r="H1513" s="26"/>
      <c r="I1513" s="26"/>
      <c r="J1513" s="26"/>
    </row>
    <row r="1514" spans="2:10" ht="15.95" customHeight="1">
      <c r="B1514" s="456"/>
      <c r="E1514" s="457"/>
      <c r="F1514" s="443"/>
      <c r="G1514" s="26"/>
      <c r="H1514" s="26"/>
      <c r="I1514" s="26"/>
      <c r="J1514" s="26"/>
    </row>
    <row r="1515" spans="2:10" ht="15.95" customHeight="1">
      <c r="B1515" s="456"/>
      <c r="E1515" s="457"/>
      <c r="F1515" s="443"/>
      <c r="G1515" s="26"/>
      <c r="H1515" s="26"/>
      <c r="I1515" s="26"/>
      <c r="J1515" s="26"/>
    </row>
    <row r="1516" spans="2:10" ht="15.95" customHeight="1">
      <c r="B1516" s="456"/>
      <c r="E1516" s="457"/>
      <c r="F1516" s="443"/>
      <c r="G1516" s="26"/>
      <c r="H1516" s="26"/>
      <c r="I1516" s="26"/>
      <c r="J1516" s="26"/>
    </row>
    <row r="1517" spans="2:10" ht="15.95" customHeight="1">
      <c r="B1517" s="456"/>
      <c r="E1517" s="457"/>
      <c r="F1517" s="443"/>
      <c r="G1517" s="26"/>
      <c r="H1517" s="26"/>
      <c r="I1517" s="26"/>
      <c r="J1517" s="26"/>
    </row>
    <row r="1518" spans="2:10" ht="15.95" customHeight="1">
      <c r="B1518" s="456"/>
      <c r="E1518" s="457"/>
      <c r="F1518" s="443"/>
      <c r="G1518" s="26"/>
      <c r="H1518" s="26"/>
      <c r="I1518" s="26"/>
      <c r="J1518" s="26"/>
    </row>
    <row r="1519" spans="2:10" ht="15.95" customHeight="1">
      <c r="B1519" s="456"/>
      <c r="E1519" s="457"/>
      <c r="F1519" s="443"/>
      <c r="G1519" s="26"/>
      <c r="H1519" s="26"/>
      <c r="I1519" s="26"/>
      <c r="J1519" s="26"/>
    </row>
    <row r="1520" spans="2:10" ht="15.95" customHeight="1">
      <c r="B1520" s="456"/>
      <c r="E1520" s="457"/>
      <c r="F1520" s="443"/>
      <c r="G1520" s="26"/>
      <c r="H1520" s="26"/>
      <c r="I1520" s="26"/>
      <c r="J1520" s="26"/>
    </row>
    <row r="1521" spans="2:10" ht="15.95" customHeight="1">
      <c r="B1521" s="456"/>
      <c r="E1521" s="457"/>
      <c r="F1521" s="443"/>
      <c r="G1521" s="26"/>
      <c r="H1521" s="26"/>
      <c r="I1521" s="26"/>
      <c r="J1521" s="26"/>
    </row>
    <row r="1522" spans="2:10" ht="15.95" customHeight="1">
      <c r="B1522" s="456"/>
      <c r="E1522" s="457"/>
      <c r="F1522" s="443"/>
      <c r="G1522" s="26"/>
      <c r="H1522" s="26"/>
      <c r="I1522" s="26"/>
      <c r="J1522" s="26"/>
    </row>
    <row r="1523" spans="2:10" ht="15.95" customHeight="1">
      <c r="B1523" s="456"/>
      <c r="E1523" s="457"/>
      <c r="F1523" s="443"/>
      <c r="G1523" s="26"/>
      <c r="H1523" s="26"/>
      <c r="I1523" s="26"/>
      <c r="J1523" s="26"/>
    </row>
    <row r="1524" spans="2:10" ht="15.95" customHeight="1">
      <c r="B1524" s="456"/>
      <c r="E1524" s="457"/>
      <c r="F1524" s="443"/>
      <c r="G1524" s="26"/>
      <c r="H1524" s="26"/>
      <c r="I1524" s="26"/>
      <c r="J1524" s="26"/>
    </row>
    <row r="1525" spans="2:10" ht="15.95" customHeight="1">
      <c r="B1525" s="456"/>
      <c r="E1525" s="457"/>
      <c r="F1525" s="443"/>
      <c r="G1525" s="26"/>
      <c r="H1525" s="26"/>
      <c r="I1525" s="26"/>
      <c r="J1525" s="26"/>
    </row>
    <row r="1526" spans="2:10" ht="15.95" customHeight="1">
      <c r="B1526" s="456"/>
      <c r="E1526" s="457"/>
      <c r="F1526" s="443"/>
      <c r="G1526" s="26"/>
      <c r="H1526" s="26"/>
      <c r="I1526" s="26"/>
      <c r="J1526" s="26"/>
    </row>
    <row r="1527" spans="2:10" ht="15.95" customHeight="1">
      <c r="B1527" s="456"/>
      <c r="E1527" s="457"/>
      <c r="F1527" s="443"/>
      <c r="G1527" s="26"/>
      <c r="H1527" s="26"/>
      <c r="I1527" s="26"/>
      <c r="J1527" s="26"/>
    </row>
    <row r="1528" spans="2:10" ht="15.95" customHeight="1">
      <c r="B1528" s="456"/>
      <c r="E1528" s="457"/>
      <c r="F1528" s="443"/>
      <c r="G1528" s="26"/>
      <c r="H1528" s="26"/>
      <c r="I1528" s="26"/>
      <c r="J1528" s="26"/>
    </row>
    <row r="1529" spans="2:10" ht="15.95" customHeight="1">
      <c r="B1529" s="456"/>
      <c r="E1529" s="457"/>
      <c r="F1529" s="443"/>
      <c r="G1529" s="26"/>
      <c r="H1529" s="26"/>
      <c r="I1529" s="26"/>
      <c r="J1529" s="26"/>
    </row>
    <row r="1530" spans="2:10" ht="15.95" customHeight="1">
      <c r="B1530" s="456"/>
      <c r="E1530" s="457"/>
      <c r="F1530" s="443"/>
      <c r="G1530" s="26"/>
      <c r="H1530" s="26"/>
      <c r="I1530" s="26"/>
      <c r="J1530" s="26"/>
    </row>
    <row r="1531" spans="2:10" ht="15.95" customHeight="1">
      <c r="B1531" s="456"/>
      <c r="E1531" s="457"/>
      <c r="F1531" s="443"/>
      <c r="G1531" s="26"/>
      <c r="H1531" s="26"/>
      <c r="I1531" s="26"/>
      <c r="J1531" s="26"/>
    </row>
    <row r="1532" spans="2:10" ht="15.95" customHeight="1">
      <c r="B1532" s="456"/>
      <c r="E1532" s="457"/>
      <c r="F1532" s="443"/>
      <c r="G1532" s="26"/>
      <c r="H1532" s="26"/>
      <c r="I1532" s="26"/>
      <c r="J1532" s="26"/>
    </row>
    <row r="1533" spans="2:10" ht="15.95" customHeight="1">
      <c r="B1533" s="456"/>
      <c r="E1533" s="457"/>
      <c r="F1533" s="443"/>
      <c r="G1533" s="26"/>
      <c r="H1533" s="26"/>
      <c r="I1533" s="26"/>
      <c r="J1533" s="26"/>
    </row>
    <row r="1534" spans="2:10" ht="15.95" customHeight="1">
      <c r="B1534" s="456"/>
      <c r="E1534" s="457"/>
      <c r="F1534" s="443"/>
      <c r="G1534" s="26"/>
      <c r="H1534" s="26"/>
      <c r="I1534" s="26"/>
      <c r="J1534" s="26"/>
    </row>
    <row r="1535" spans="2:10" ht="15.95" customHeight="1">
      <c r="B1535" s="456"/>
      <c r="E1535" s="457"/>
      <c r="F1535" s="443"/>
      <c r="G1535" s="26"/>
      <c r="H1535" s="26"/>
      <c r="I1535" s="26"/>
      <c r="J1535" s="26"/>
    </row>
    <row r="1536" spans="2:10" ht="15.95" customHeight="1">
      <c r="B1536" s="456"/>
      <c r="E1536" s="457"/>
      <c r="F1536" s="443"/>
      <c r="G1536" s="26"/>
      <c r="H1536" s="26"/>
      <c r="I1536" s="26"/>
      <c r="J1536" s="26"/>
    </row>
    <row r="1537" spans="2:10" ht="15.95" customHeight="1">
      <c r="B1537" s="456"/>
      <c r="E1537" s="457"/>
      <c r="F1537" s="443"/>
      <c r="G1537" s="26"/>
      <c r="H1537" s="26"/>
      <c r="I1537" s="26"/>
      <c r="J1537" s="26"/>
    </row>
    <row r="1538" spans="2:10" ht="15.95" customHeight="1">
      <c r="B1538" s="456"/>
      <c r="E1538" s="457"/>
      <c r="F1538" s="443"/>
      <c r="G1538" s="26"/>
      <c r="H1538" s="26"/>
      <c r="I1538" s="26"/>
      <c r="J1538" s="26"/>
    </row>
    <row r="1539" spans="2:10" ht="15.95" customHeight="1">
      <c r="B1539" s="456"/>
      <c r="E1539" s="457"/>
      <c r="F1539" s="443"/>
      <c r="G1539" s="26"/>
      <c r="H1539" s="26"/>
      <c r="I1539" s="26"/>
      <c r="J1539" s="26"/>
    </row>
    <row r="1540" spans="2:10" ht="15.95" customHeight="1">
      <c r="B1540" s="456"/>
      <c r="E1540" s="457"/>
      <c r="F1540" s="443"/>
      <c r="G1540" s="26"/>
      <c r="H1540" s="26"/>
      <c r="I1540" s="26"/>
      <c r="J1540" s="26"/>
    </row>
    <row r="1541" spans="2:10" ht="15.95" customHeight="1">
      <c r="B1541" s="456"/>
      <c r="E1541" s="457"/>
      <c r="F1541" s="443"/>
      <c r="G1541" s="26"/>
      <c r="H1541" s="26"/>
      <c r="I1541" s="26"/>
      <c r="J1541" s="26"/>
    </row>
    <row r="1542" spans="2:10" ht="15.95" customHeight="1">
      <c r="B1542" s="456"/>
      <c r="E1542" s="457"/>
      <c r="F1542" s="443"/>
      <c r="G1542" s="26"/>
      <c r="H1542" s="26"/>
      <c r="I1542" s="26"/>
      <c r="J1542" s="26"/>
    </row>
    <row r="1543" spans="2:10" ht="15.95" customHeight="1">
      <c r="B1543" s="456"/>
      <c r="E1543" s="457"/>
      <c r="F1543" s="443"/>
      <c r="G1543" s="26"/>
      <c r="H1543" s="26"/>
      <c r="I1543" s="26"/>
      <c r="J1543" s="26"/>
    </row>
    <row r="1544" spans="2:10" ht="15.95" customHeight="1">
      <c r="B1544" s="456"/>
      <c r="E1544" s="457"/>
      <c r="F1544" s="443"/>
      <c r="G1544" s="26"/>
      <c r="H1544" s="26"/>
      <c r="I1544" s="26"/>
      <c r="J1544" s="26"/>
    </row>
    <row r="1545" spans="2:10" ht="15.95" customHeight="1">
      <c r="B1545" s="456"/>
      <c r="E1545" s="457"/>
      <c r="F1545" s="443"/>
      <c r="G1545" s="26"/>
      <c r="H1545" s="26"/>
      <c r="I1545" s="26"/>
      <c r="J1545" s="26"/>
    </row>
    <row r="1546" spans="2:10" ht="15.95" customHeight="1">
      <c r="B1546" s="456"/>
      <c r="E1546" s="457"/>
      <c r="F1546" s="443"/>
      <c r="G1546" s="26"/>
      <c r="H1546" s="26"/>
      <c r="I1546" s="26"/>
      <c r="J1546" s="26"/>
    </row>
    <row r="1547" spans="2:10" ht="15.95" customHeight="1">
      <c r="B1547" s="456"/>
      <c r="E1547" s="457"/>
      <c r="F1547" s="443"/>
      <c r="G1547" s="26"/>
      <c r="H1547" s="26"/>
      <c r="I1547" s="26"/>
      <c r="J1547" s="26"/>
    </row>
    <row r="1548" spans="2:10" ht="15.95" customHeight="1">
      <c r="B1548" s="456"/>
      <c r="E1548" s="457"/>
      <c r="F1548" s="443"/>
      <c r="G1548" s="26"/>
      <c r="H1548" s="26"/>
      <c r="I1548" s="26"/>
      <c r="J1548" s="26"/>
    </row>
    <row r="1549" spans="2:10" ht="15.95" customHeight="1">
      <c r="B1549" s="456"/>
      <c r="E1549" s="457"/>
      <c r="F1549" s="443"/>
      <c r="G1549" s="26"/>
      <c r="H1549" s="26"/>
      <c r="I1549" s="26"/>
      <c r="J1549" s="26"/>
    </row>
    <row r="1550" spans="2:10" ht="15.95" customHeight="1">
      <c r="B1550" s="456"/>
      <c r="E1550" s="457"/>
      <c r="F1550" s="443"/>
      <c r="G1550" s="26"/>
      <c r="H1550" s="26"/>
      <c r="I1550" s="26"/>
      <c r="J1550" s="26"/>
    </row>
    <row r="1551" spans="2:10" ht="15.95" customHeight="1">
      <c r="B1551" s="456"/>
      <c r="E1551" s="457"/>
      <c r="F1551" s="443"/>
      <c r="G1551" s="26"/>
      <c r="H1551" s="26"/>
      <c r="I1551" s="26"/>
      <c r="J1551" s="26"/>
    </row>
    <row r="1552" spans="2:10" ht="15.95" customHeight="1">
      <c r="B1552" s="456"/>
      <c r="E1552" s="457"/>
      <c r="F1552" s="443"/>
      <c r="G1552" s="26"/>
      <c r="H1552" s="26"/>
      <c r="I1552" s="26"/>
      <c r="J1552" s="26"/>
    </row>
    <row r="1553" spans="2:10" ht="15.95" customHeight="1">
      <c r="B1553" s="456"/>
      <c r="E1553" s="457"/>
      <c r="F1553" s="443"/>
      <c r="G1553" s="26"/>
      <c r="H1553" s="26"/>
      <c r="I1553" s="26"/>
      <c r="J1553" s="26"/>
    </row>
    <row r="1554" spans="2:10" ht="15.95" customHeight="1">
      <c r="B1554" s="456"/>
      <c r="E1554" s="457"/>
      <c r="F1554" s="443"/>
      <c r="G1554" s="26"/>
      <c r="H1554" s="26"/>
      <c r="I1554" s="26"/>
      <c r="J1554" s="26"/>
    </row>
    <row r="1555" spans="2:10" ht="15.95" customHeight="1">
      <c r="B1555" s="456"/>
      <c r="E1555" s="457"/>
      <c r="F1555" s="443"/>
      <c r="G1555" s="26"/>
      <c r="H1555" s="26"/>
      <c r="I1555" s="26"/>
      <c r="J1555" s="26"/>
    </row>
    <row r="1556" spans="2:10" ht="15.95" customHeight="1">
      <c r="B1556" s="456"/>
      <c r="E1556" s="457"/>
      <c r="F1556" s="443"/>
      <c r="G1556" s="26"/>
      <c r="H1556" s="26"/>
      <c r="I1556" s="26"/>
      <c r="J1556" s="26"/>
    </row>
    <row r="1557" spans="2:10" ht="15.95" customHeight="1">
      <c r="B1557" s="456"/>
      <c r="E1557" s="457"/>
      <c r="F1557" s="443"/>
      <c r="G1557" s="26"/>
      <c r="H1557" s="26"/>
      <c r="I1557" s="26"/>
      <c r="J1557" s="26"/>
    </row>
    <row r="1558" spans="2:10" ht="15.95" customHeight="1">
      <c r="B1558" s="456"/>
      <c r="E1558" s="457"/>
      <c r="F1558" s="443"/>
      <c r="G1558" s="26"/>
      <c r="H1558" s="26"/>
      <c r="I1558" s="26"/>
      <c r="J1558" s="26"/>
    </row>
    <row r="1559" spans="2:10" ht="15.95" customHeight="1">
      <c r="B1559" s="456"/>
      <c r="E1559" s="457"/>
      <c r="F1559" s="443"/>
      <c r="G1559" s="26"/>
      <c r="H1559" s="26"/>
      <c r="I1559" s="26"/>
      <c r="J1559" s="26"/>
    </row>
    <row r="1560" spans="2:10" ht="15.95" customHeight="1">
      <c r="B1560" s="456"/>
      <c r="E1560" s="457"/>
      <c r="F1560" s="443"/>
      <c r="G1560" s="26"/>
      <c r="H1560" s="26"/>
      <c r="I1560" s="26"/>
      <c r="J1560" s="26"/>
    </row>
    <row r="1561" spans="2:10" ht="15.95" customHeight="1">
      <c r="B1561" s="456"/>
      <c r="E1561" s="457"/>
      <c r="F1561" s="443"/>
      <c r="G1561" s="26"/>
      <c r="H1561" s="26"/>
      <c r="I1561" s="26"/>
      <c r="J1561" s="26"/>
    </row>
    <row r="1562" spans="2:10" ht="15.95" customHeight="1">
      <c r="B1562" s="456"/>
      <c r="E1562" s="457"/>
      <c r="F1562" s="443"/>
      <c r="G1562" s="26"/>
      <c r="H1562" s="26"/>
      <c r="I1562" s="26"/>
      <c r="J1562" s="26"/>
    </row>
    <row r="1563" spans="2:10" ht="15.95" customHeight="1">
      <c r="B1563" s="456"/>
      <c r="E1563" s="457"/>
      <c r="F1563" s="443"/>
      <c r="G1563" s="26"/>
      <c r="H1563" s="26"/>
      <c r="I1563" s="26"/>
      <c r="J1563" s="26"/>
    </row>
    <row r="1564" spans="2:10" ht="15.95" customHeight="1">
      <c r="B1564" s="456"/>
      <c r="E1564" s="457"/>
      <c r="F1564" s="443"/>
      <c r="G1564" s="26"/>
      <c r="H1564" s="26"/>
      <c r="I1564" s="26"/>
      <c r="J1564" s="26"/>
    </row>
    <row r="1565" spans="2:10" ht="15.95" customHeight="1">
      <c r="B1565" s="456"/>
      <c r="E1565" s="457"/>
      <c r="F1565" s="443"/>
      <c r="G1565" s="26"/>
      <c r="H1565" s="26"/>
      <c r="I1565" s="26"/>
      <c r="J1565" s="26"/>
    </row>
    <row r="1566" spans="2:10" ht="15.95" customHeight="1">
      <c r="B1566" s="456"/>
      <c r="E1566" s="457"/>
      <c r="F1566" s="443"/>
      <c r="G1566" s="26"/>
      <c r="H1566" s="26"/>
      <c r="I1566" s="26"/>
      <c r="J1566" s="26"/>
    </row>
    <row r="1567" spans="2:10" ht="15.95" customHeight="1">
      <c r="B1567" s="456"/>
      <c r="E1567" s="457"/>
      <c r="F1567" s="443"/>
      <c r="G1567" s="26"/>
      <c r="H1567" s="26"/>
      <c r="I1567" s="26"/>
      <c r="J1567" s="26"/>
    </row>
    <row r="1568" spans="2:10" ht="15.95" customHeight="1">
      <c r="B1568" s="456"/>
      <c r="E1568" s="457"/>
      <c r="F1568" s="443"/>
      <c r="G1568" s="26"/>
      <c r="H1568" s="26"/>
      <c r="I1568" s="26"/>
      <c r="J1568" s="26"/>
    </row>
    <row r="1569" spans="2:10" ht="15.95" customHeight="1">
      <c r="B1569" s="456"/>
      <c r="E1569" s="457"/>
      <c r="F1569" s="443"/>
      <c r="G1569" s="26"/>
      <c r="H1569" s="26"/>
      <c r="I1569" s="26"/>
      <c r="J1569" s="26"/>
    </row>
    <row r="1570" spans="2:10" ht="15.95" customHeight="1">
      <c r="B1570" s="456"/>
      <c r="E1570" s="457"/>
      <c r="F1570" s="443"/>
      <c r="G1570" s="26"/>
      <c r="H1570" s="26"/>
      <c r="I1570" s="26"/>
      <c r="J1570" s="26"/>
    </row>
    <row r="1571" spans="2:10" ht="15.95" customHeight="1">
      <c r="B1571" s="456"/>
      <c r="E1571" s="457"/>
      <c r="F1571" s="443"/>
      <c r="G1571" s="26"/>
      <c r="H1571" s="26"/>
      <c r="I1571" s="26"/>
      <c r="J1571" s="26"/>
    </row>
    <row r="1572" spans="2:10" ht="15.95" customHeight="1">
      <c r="B1572" s="456"/>
      <c r="E1572" s="457"/>
      <c r="F1572" s="443"/>
      <c r="G1572" s="26"/>
      <c r="H1572" s="26"/>
      <c r="I1572" s="26"/>
      <c r="J1572" s="26"/>
    </row>
    <row r="1573" spans="2:10" ht="15.95" customHeight="1">
      <c r="B1573" s="456"/>
      <c r="E1573" s="457"/>
      <c r="F1573" s="443"/>
      <c r="G1573" s="26"/>
      <c r="H1573" s="26"/>
      <c r="I1573" s="26"/>
      <c r="J1573" s="26"/>
    </row>
    <row r="1574" spans="2:10" ht="15.95" customHeight="1">
      <c r="B1574" s="456"/>
      <c r="E1574" s="457"/>
      <c r="F1574" s="443"/>
      <c r="G1574" s="26"/>
      <c r="H1574" s="26"/>
      <c r="I1574" s="26"/>
      <c r="J1574" s="26"/>
    </row>
    <row r="1575" spans="2:10" ht="15.95" customHeight="1">
      <c r="B1575" s="456"/>
      <c r="E1575" s="457"/>
      <c r="F1575" s="443"/>
      <c r="G1575" s="26"/>
      <c r="H1575" s="26"/>
      <c r="I1575" s="26"/>
      <c r="J1575" s="26"/>
    </row>
    <row r="1576" spans="2:10" ht="15.95" customHeight="1">
      <c r="B1576" s="456"/>
      <c r="E1576" s="457"/>
      <c r="F1576" s="443"/>
      <c r="G1576" s="26"/>
      <c r="H1576" s="26"/>
      <c r="I1576" s="26"/>
      <c r="J1576" s="26"/>
    </row>
    <row r="1577" spans="2:10" ht="15.95" customHeight="1">
      <c r="B1577" s="456"/>
      <c r="E1577" s="457"/>
      <c r="F1577" s="443"/>
      <c r="G1577" s="26"/>
      <c r="H1577" s="26"/>
      <c r="I1577" s="26"/>
      <c r="J1577" s="26"/>
    </row>
    <row r="1578" spans="2:10" ht="15.95" customHeight="1">
      <c r="B1578" s="456"/>
      <c r="E1578" s="457"/>
      <c r="F1578" s="443"/>
      <c r="G1578" s="26"/>
      <c r="H1578" s="26"/>
      <c r="I1578" s="26"/>
      <c r="J1578" s="26"/>
    </row>
    <row r="1579" spans="2:10" ht="15.95" customHeight="1">
      <c r="B1579" s="456"/>
      <c r="E1579" s="457"/>
      <c r="F1579" s="443"/>
      <c r="G1579" s="26"/>
      <c r="H1579" s="26"/>
      <c r="I1579" s="26"/>
      <c r="J1579" s="26"/>
    </row>
    <row r="1580" spans="2:10" ht="15.95" customHeight="1">
      <c r="B1580" s="456"/>
      <c r="E1580" s="457"/>
      <c r="F1580" s="443"/>
      <c r="G1580" s="26"/>
      <c r="H1580" s="26"/>
      <c r="I1580" s="26"/>
      <c r="J1580" s="26"/>
    </row>
    <row r="1581" spans="2:10" ht="15.95" customHeight="1">
      <c r="B1581" s="456"/>
      <c r="E1581" s="457"/>
      <c r="F1581" s="443"/>
      <c r="G1581" s="26"/>
      <c r="H1581" s="26"/>
      <c r="I1581" s="26"/>
      <c r="J1581" s="26"/>
    </row>
    <row r="1582" spans="2:10" ht="15.95" customHeight="1">
      <c r="B1582" s="456"/>
      <c r="E1582" s="457"/>
      <c r="F1582" s="443"/>
      <c r="G1582" s="26"/>
      <c r="H1582" s="26"/>
      <c r="I1582" s="26"/>
      <c r="J1582" s="26"/>
    </row>
    <row r="1583" spans="2:10" ht="15.95" customHeight="1">
      <c r="B1583" s="456"/>
      <c r="E1583" s="457"/>
      <c r="F1583" s="443"/>
      <c r="G1583" s="26"/>
      <c r="H1583" s="26"/>
      <c r="I1583" s="26"/>
      <c r="J1583" s="26"/>
    </row>
    <row r="1584" spans="2:10" ht="15.95" customHeight="1">
      <c r="B1584" s="456"/>
      <c r="E1584" s="457"/>
      <c r="F1584" s="443"/>
      <c r="G1584" s="26"/>
      <c r="H1584" s="26"/>
      <c r="I1584" s="26"/>
      <c r="J1584" s="26"/>
    </row>
    <row r="1585" spans="2:10" ht="15.95" customHeight="1">
      <c r="B1585" s="456"/>
      <c r="E1585" s="457"/>
      <c r="F1585" s="443"/>
      <c r="G1585" s="26"/>
      <c r="H1585" s="26"/>
      <c r="I1585" s="26"/>
      <c r="J1585" s="26"/>
    </row>
    <row r="1586" spans="2:10" ht="15.95" customHeight="1">
      <c r="B1586" s="456"/>
      <c r="E1586" s="457"/>
      <c r="F1586" s="443"/>
      <c r="G1586" s="26"/>
      <c r="H1586" s="26"/>
      <c r="I1586" s="26"/>
      <c r="J1586" s="26"/>
    </row>
    <row r="1587" spans="2:10" ht="15.95" customHeight="1">
      <c r="B1587" s="456"/>
      <c r="E1587" s="457"/>
      <c r="F1587" s="443"/>
      <c r="G1587" s="26"/>
      <c r="H1587" s="26"/>
      <c r="I1587" s="26"/>
      <c r="J1587" s="26"/>
    </row>
    <row r="1588" spans="2:10" ht="15.95" customHeight="1">
      <c r="B1588" s="456"/>
      <c r="E1588" s="457"/>
      <c r="F1588" s="443"/>
      <c r="G1588" s="26"/>
      <c r="H1588" s="26"/>
      <c r="I1588" s="26"/>
      <c r="J1588" s="26"/>
    </row>
    <row r="1589" spans="2:10" ht="15.95" customHeight="1">
      <c r="B1589" s="456"/>
      <c r="E1589" s="457"/>
      <c r="F1589" s="443"/>
      <c r="G1589" s="26"/>
      <c r="H1589" s="26"/>
      <c r="I1589" s="26"/>
      <c r="J1589" s="26"/>
    </row>
    <row r="1590" spans="2:10" ht="15.95" customHeight="1">
      <c r="B1590" s="456"/>
      <c r="E1590" s="457"/>
      <c r="F1590" s="443"/>
      <c r="G1590" s="26"/>
      <c r="H1590" s="26"/>
      <c r="I1590" s="26"/>
      <c r="J1590" s="26"/>
    </row>
    <row r="1591" spans="2:10" ht="15.95" customHeight="1">
      <c r="B1591" s="456"/>
      <c r="E1591" s="457"/>
      <c r="F1591" s="443"/>
      <c r="G1591" s="26"/>
      <c r="H1591" s="26"/>
      <c r="I1591" s="26"/>
      <c r="J1591" s="26"/>
    </row>
    <row r="1592" spans="2:10" ht="15.95" customHeight="1">
      <c r="B1592" s="456"/>
      <c r="E1592" s="457"/>
      <c r="F1592" s="443"/>
      <c r="G1592" s="26"/>
      <c r="H1592" s="26"/>
      <c r="I1592" s="26"/>
      <c r="J1592" s="26"/>
    </row>
    <row r="1593" spans="2:10" ht="15.95" customHeight="1">
      <c r="B1593" s="456"/>
      <c r="E1593" s="457"/>
      <c r="F1593" s="443"/>
      <c r="G1593" s="26"/>
      <c r="H1593" s="26"/>
      <c r="I1593" s="26"/>
      <c r="J1593" s="26"/>
    </row>
    <row r="1594" spans="2:10" ht="15.95" customHeight="1">
      <c r="B1594" s="456"/>
      <c r="E1594" s="457"/>
      <c r="F1594" s="443"/>
      <c r="G1594" s="26"/>
      <c r="H1594" s="26"/>
      <c r="I1594" s="26"/>
      <c r="J1594" s="26"/>
    </row>
    <row r="1595" spans="2:10" ht="15.95" customHeight="1">
      <c r="B1595" s="456"/>
      <c r="E1595" s="457"/>
      <c r="F1595" s="443"/>
      <c r="G1595" s="26"/>
      <c r="H1595" s="26"/>
      <c r="I1595" s="26"/>
      <c r="J1595" s="26"/>
    </row>
    <row r="1596" spans="2:10" ht="15.95" customHeight="1">
      <c r="B1596" s="456"/>
      <c r="E1596" s="457"/>
      <c r="F1596" s="443"/>
      <c r="G1596" s="26"/>
      <c r="H1596" s="26"/>
      <c r="I1596" s="26"/>
      <c r="J1596" s="26"/>
    </row>
    <row r="1597" spans="2:10" ht="15.95" customHeight="1">
      <c r="B1597" s="456"/>
      <c r="E1597" s="457"/>
      <c r="F1597" s="443"/>
      <c r="G1597" s="26"/>
      <c r="H1597" s="26"/>
      <c r="I1597" s="26"/>
      <c r="J1597" s="26"/>
    </row>
    <row r="1598" spans="2:10" ht="15.95" customHeight="1">
      <c r="B1598" s="456"/>
      <c r="E1598" s="457"/>
      <c r="F1598" s="443"/>
      <c r="G1598" s="26"/>
      <c r="H1598" s="26"/>
      <c r="I1598" s="26"/>
      <c r="J1598" s="26"/>
    </row>
    <row r="1599" spans="2:10" ht="15.95" customHeight="1">
      <c r="B1599" s="456"/>
      <c r="E1599" s="457"/>
      <c r="F1599" s="443"/>
      <c r="G1599" s="26"/>
      <c r="H1599" s="26"/>
      <c r="I1599" s="26"/>
      <c r="J1599" s="26"/>
    </row>
    <row r="1600" spans="2:10" ht="15.95" customHeight="1">
      <c r="B1600" s="456"/>
      <c r="E1600" s="457"/>
      <c r="F1600" s="443"/>
      <c r="G1600" s="26"/>
      <c r="H1600" s="26"/>
      <c r="I1600" s="26"/>
      <c r="J1600" s="26"/>
    </row>
    <row r="1601" spans="2:10" ht="15.95" customHeight="1">
      <c r="B1601" s="456"/>
      <c r="E1601" s="457"/>
      <c r="F1601" s="443"/>
      <c r="G1601" s="26"/>
      <c r="H1601" s="26"/>
      <c r="I1601" s="26"/>
      <c r="J1601" s="26"/>
    </row>
    <row r="1602" spans="2:10" ht="15.95" customHeight="1">
      <c r="B1602" s="456"/>
      <c r="E1602" s="457"/>
      <c r="F1602" s="443"/>
      <c r="G1602" s="26"/>
      <c r="H1602" s="26"/>
      <c r="I1602" s="26"/>
      <c r="J1602" s="26"/>
    </row>
    <row r="1603" spans="2:10" ht="15.95" customHeight="1">
      <c r="B1603" s="456"/>
      <c r="E1603" s="457"/>
      <c r="F1603" s="443"/>
      <c r="G1603" s="26"/>
      <c r="H1603" s="26"/>
      <c r="I1603" s="26"/>
      <c r="J1603" s="26"/>
    </row>
    <row r="1604" spans="2:10" ht="15.95" customHeight="1">
      <c r="B1604" s="456"/>
      <c r="E1604" s="457"/>
      <c r="F1604" s="443"/>
      <c r="G1604" s="26"/>
      <c r="H1604" s="26"/>
      <c r="I1604" s="26"/>
      <c r="J1604" s="26"/>
    </row>
    <row r="1605" spans="2:10" ht="15.95" customHeight="1">
      <c r="B1605" s="456"/>
      <c r="E1605" s="457"/>
      <c r="F1605" s="443"/>
      <c r="G1605" s="26"/>
      <c r="H1605" s="26"/>
      <c r="I1605" s="26"/>
      <c r="J1605" s="26"/>
    </row>
    <row r="1606" spans="2:10" ht="15.95" customHeight="1">
      <c r="B1606" s="456"/>
      <c r="E1606" s="457"/>
      <c r="F1606" s="443"/>
      <c r="G1606" s="26"/>
      <c r="H1606" s="26"/>
      <c r="I1606" s="26"/>
      <c r="J1606" s="26"/>
    </row>
    <row r="1607" spans="2:10" ht="15.95" customHeight="1">
      <c r="B1607" s="456"/>
      <c r="E1607" s="457"/>
      <c r="F1607" s="443"/>
      <c r="G1607" s="26"/>
      <c r="H1607" s="26"/>
      <c r="I1607" s="26"/>
      <c r="J1607" s="26"/>
    </row>
    <row r="1608" spans="2:10" ht="15.95" customHeight="1">
      <c r="B1608" s="456"/>
      <c r="E1608" s="457"/>
      <c r="F1608" s="443"/>
      <c r="G1608" s="26"/>
      <c r="H1608" s="26"/>
      <c r="I1608" s="26"/>
      <c r="J1608" s="26"/>
    </row>
    <row r="1609" spans="2:10" ht="15.95" customHeight="1">
      <c r="B1609" s="456"/>
      <c r="E1609" s="457"/>
      <c r="F1609" s="443"/>
      <c r="G1609" s="26"/>
      <c r="H1609" s="26"/>
      <c r="I1609" s="26"/>
      <c r="J1609" s="26"/>
    </row>
    <row r="1610" spans="2:10" ht="15.95" customHeight="1">
      <c r="B1610" s="456"/>
      <c r="E1610" s="457"/>
      <c r="F1610" s="443"/>
      <c r="G1610" s="26"/>
      <c r="H1610" s="26"/>
      <c r="I1610" s="26"/>
      <c r="J1610" s="26"/>
    </row>
    <row r="1611" spans="2:10" ht="15.95" customHeight="1">
      <c r="B1611" s="456"/>
      <c r="E1611" s="457"/>
      <c r="F1611" s="443"/>
      <c r="G1611" s="26"/>
      <c r="H1611" s="26"/>
      <c r="I1611" s="26"/>
      <c r="J1611" s="26"/>
    </row>
    <row r="1612" spans="2:10" ht="15.95" customHeight="1">
      <c r="B1612" s="456"/>
      <c r="E1612" s="457"/>
      <c r="F1612" s="443"/>
      <c r="G1612" s="26"/>
      <c r="H1612" s="26"/>
      <c r="I1612" s="26"/>
      <c r="J1612" s="26"/>
    </row>
    <row r="1613" spans="2:10" ht="15.95" customHeight="1">
      <c r="B1613" s="456"/>
      <c r="E1613" s="457"/>
      <c r="F1613" s="443"/>
      <c r="G1613" s="26"/>
      <c r="H1613" s="26"/>
      <c r="I1613" s="26"/>
      <c r="J1613" s="26"/>
    </row>
    <row r="1614" spans="2:10" ht="15.95" customHeight="1">
      <c r="B1614" s="456"/>
      <c r="E1614" s="457"/>
      <c r="F1614" s="443"/>
      <c r="G1614" s="26"/>
      <c r="H1614" s="26"/>
      <c r="I1614" s="26"/>
      <c r="J1614" s="26"/>
    </row>
    <row r="1615" spans="2:10" ht="15.95" customHeight="1">
      <c r="B1615" s="456"/>
      <c r="E1615" s="457"/>
      <c r="F1615" s="443"/>
      <c r="G1615" s="26"/>
      <c r="H1615" s="26"/>
      <c r="I1615" s="26"/>
      <c r="J1615" s="26"/>
    </row>
    <row r="1616" spans="2:10" ht="15.95" customHeight="1">
      <c r="B1616" s="456"/>
      <c r="E1616" s="457"/>
      <c r="F1616" s="443"/>
      <c r="G1616" s="26"/>
      <c r="H1616" s="26"/>
      <c r="I1616" s="26"/>
      <c r="J1616" s="26"/>
    </row>
    <row r="1617" spans="2:10" ht="15.95" customHeight="1">
      <c r="B1617" s="456"/>
      <c r="E1617" s="457"/>
      <c r="F1617" s="443"/>
      <c r="G1617" s="26"/>
      <c r="H1617" s="26"/>
      <c r="I1617" s="26"/>
      <c r="J1617" s="26"/>
    </row>
    <row r="1618" spans="2:10" ht="15.95" customHeight="1">
      <c r="B1618" s="456"/>
      <c r="E1618" s="457"/>
      <c r="F1618" s="443"/>
      <c r="G1618" s="26"/>
      <c r="H1618" s="26"/>
      <c r="I1618" s="26"/>
      <c r="J1618" s="26"/>
    </row>
    <row r="1619" spans="2:10" ht="15.95" customHeight="1">
      <c r="B1619" s="456"/>
      <c r="E1619" s="457"/>
      <c r="F1619" s="443"/>
      <c r="G1619" s="26"/>
      <c r="H1619" s="26"/>
      <c r="I1619" s="26"/>
      <c r="J1619" s="26"/>
    </row>
    <row r="1620" spans="2:10" ht="15.95" customHeight="1">
      <c r="B1620" s="456"/>
      <c r="E1620" s="457"/>
      <c r="F1620" s="443"/>
      <c r="G1620" s="26"/>
      <c r="H1620" s="26"/>
      <c r="I1620" s="26"/>
      <c r="J1620" s="26"/>
    </row>
    <row r="1621" spans="2:10" ht="15.95" customHeight="1">
      <c r="B1621" s="456"/>
      <c r="E1621" s="457"/>
      <c r="F1621" s="443"/>
      <c r="G1621" s="26"/>
      <c r="H1621" s="26"/>
      <c r="I1621" s="26"/>
      <c r="J1621" s="26"/>
    </row>
    <row r="1622" spans="2:10" ht="15.95" customHeight="1">
      <c r="B1622" s="456"/>
      <c r="E1622" s="457"/>
      <c r="F1622" s="443"/>
      <c r="G1622" s="26"/>
      <c r="H1622" s="26"/>
      <c r="I1622" s="26"/>
      <c r="J1622" s="26"/>
    </row>
    <row r="1623" spans="2:10" ht="15.95" customHeight="1">
      <c r="B1623" s="456"/>
      <c r="E1623" s="457"/>
      <c r="F1623" s="443"/>
      <c r="G1623" s="26"/>
      <c r="H1623" s="26"/>
      <c r="I1623" s="26"/>
      <c r="J1623" s="26"/>
    </row>
    <row r="1624" spans="2:10" ht="15.95" customHeight="1">
      <c r="B1624" s="456"/>
      <c r="E1624" s="457"/>
      <c r="F1624" s="443"/>
      <c r="G1624" s="26"/>
      <c r="H1624" s="26"/>
      <c r="I1624" s="26"/>
      <c r="J1624" s="26"/>
    </row>
    <row r="1625" spans="2:10" ht="15.95" customHeight="1">
      <c r="B1625" s="456"/>
      <c r="E1625" s="457"/>
      <c r="F1625" s="443"/>
      <c r="G1625" s="26"/>
      <c r="H1625" s="26"/>
      <c r="I1625" s="26"/>
      <c r="J1625" s="26"/>
    </row>
    <row r="1626" spans="2:10" ht="15.95" customHeight="1">
      <c r="B1626" s="456"/>
      <c r="E1626" s="457"/>
      <c r="F1626" s="443"/>
      <c r="G1626" s="26"/>
      <c r="H1626" s="26"/>
      <c r="I1626" s="26"/>
      <c r="J1626" s="26"/>
    </row>
    <row r="1627" spans="2:10" ht="15.95" customHeight="1">
      <c r="B1627" s="456"/>
      <c r="E1627" s="457"/>
      <c r="F1627" s="443"/>
      <c r="G1627" s="26"/>
      <c r="H1627" s="26"/>
      <c r="I1627" s="26"/>
      <c r="J1627" s="26"/>
    </row>
    <row r="1628" spans="2:10" ht="15.95" customHeight="1">
      <c r="B1628" s="456"/>
      <c r="E1628" s="457"/>
      <c r="F1628" s="443"/>
      <c r="G1628" s="26"/>
      <c r="H1628" s="26"/>
      <c r="I1628" s="26"/>
      <c r="J1628" s="26"/>
    </row>
    <row r="1629" spans="2:10" ht="15.95" customHeight="1">
      <c r="B1629" s="456"/>
      <c r="E1629" s="457"/>
      <c r="F1629" s="443"/>
      <c r="G1629" s="26"/>
      <c r="H1629" s="26"/>
      <c r="I1629" s="26"/>
      <c r="J1629" s="26"/>
    </row>
    <row r="1630" spans="2:10" ht="15.95" customHeight="1">
      <c r="B1630" s="456"/>
      <c r="E1630" s="457"/>
      <c r="F1630" s="443"/>
      <c r="G1630" s="26"/>
      <c r="H1630" s="26"/>
      <c r="I1630" s="26"/>
      <c r="J1630" s="26"/>
    </row>
    <row r="1631" spans="2:10" ht="15.95" customHeight="1">
      <c r="B1631" s="456"/>
      <c r="E1631" s="457"/>
      <c r="F1631" s="443"/>
      <c r="G1631" s="26"/>
      <c r="H1631" s="26"/>
      <c r="I1631" s="26"/>
      <c r="J1631" s="26"/>
    </row>
    <row r="1632" spans="2:10" ht="15.95" customHeight="1">
      <c r="B1632" s="456"/>
      <c r="E1632" s="457"/>
      <c r="F1632" s="443"/>
      <c r="G1632" s="26"/>
      <c r="H1632" s="26"/>
      <c r="I1632" s="26"/>
      <c r="J1632" s="26"/>
    </row>
    <row r="1633" spans="2:10" ht="15.95" customHeight="1">
      <c r="B1633" s="456"/>
      <c r="E1633" s="457"/>
      <c r="F1633" s="443"/>
      <c r="G1633" s="26"/>
      <c r="H1633" s="26"/>
      <c r="I1633" s="26"/>
      <c r="J1633" s="26"/>
    </row>
    <row r="1634" spans="2:10" ht="15.95" customHeight="1">
      <c r="B1634" s="456"/>
      <c r="E1634" s="457"/>
      <c r="F1634" s="443"/>
      <c r="G1634" s="26"/>
      <c r="H1634" s="26"/>
      <c r="I1634" s="26"/>
      <c r="J1634" s="26"/>
    </row>
    <row r="1635" spans="2:10" ht="15.95" customHeight="1">
      <c r="B1635" s="456"/>
      <c r="E1635" s="457"/>
      <c r="F1635" s="443"/>
      <c r="G1635" s="26"/>
      <c r="H1635" s="26"/>
      <c r="I1635" s="26"/>
      <c r="J1635" s="26"/>
    </row>
    <row r="1636" spans="2:10" ht="15.95" customHeight="1">
      <c r="B1636" s="456"/>
      <c r="E1636" s="457"/>
      <c r="F1636" s="443"/>
      <c r="G1636" s="26"/>
      <c r="H1636" s="26"/>
      <c r="I1636" s="26"/>
      <c r="J1636" s="26"/>
    </row>
    <row r="1637" spans="2:10" ht="15.95" customHeight="1">
      <c r="B1637" s="456"/>
      <c r="E1637" s="457"/>
      <c r="F1637" s="443"/>
      <c r="G1637" s="26"/>
      <c r="H1637" s="26"/>
      <c r="I1637" s="26"/>
      <c r="J1637" s="26"/>
    </row>
    <row r="1638" spans="2:10" ht="15.95" customHeight="1">
      <c r="B1638" s="456"/>
      <c r="E1638" s="457"/>
      <c r="F1638" s="443"/>
      <c r="G1638" s="26"/>
      <c r="H1638" s="26"/>
      <c r="I1638" s="26"/>
      <c r="J1638" s="26"/>
    </row>
    <row r="1639" spans="2:10" ht="15.95" customHeight="1">
      <c r="B1639" s="456"/>
      <c r="E1639" s="457"/>
      <c r="F1639" s="443"/>
      <c r="G1639" s="26"/>
      <c r="H1639" s="26"/>
      <c r="I1639" s="26"/>
      <c r="J1639" s="26"/>
    </row>
    <row r="1640" spans="2:10" ht="15.95" customHeight="1">
      <c r="B1640" s="456"/>
      <c r="E1640" s="457"/>
      <c r="F1640" s="443"/>
      <c r="G1640" s="26"/>
      <c r="H1640" s="26"/>
      <c r="I1640" s="26"/>
      <c r="J1640" s="26"/>
    </row>
    <row r="1641" spans="2:10" ht="15.95" customHeight="1">
      <c r="B1641" s="456"/>
      <c r="E1641" s="457"/>
      <c r="F1641" s="443"/>
      <c r="G1641" s="26"/>
      <c r="H1641" s="26"/>
      <c r="I1641" s="26"/>
      <c r="J1641" s="26"/>
    </row>
    <row r="1642" spans="2:10" ht="15.95" customHeight="1">
      <c r="B1642" s="456"/>
      <c r="E1642" s="457"/>
      <c r="F1642" s="443"/>
      <c r="G1642" s="26"/>
      <c r="H1642" s="26"/>
      <c r="I1642" s="26"/>
      <c r="J1642" s="26"/>
    </row>
    <row r="1643" spans="2:10" ht="15.95" customHeight="1">
      <c r="B1643" s="456"/>
      <c r="E1643" s="457"/>
      <c r="F1643" s="443"/>
      <c r="G1643" s="26"/>
      <c r="H1643" s="26"/>
      <c r="I1643" s="26"/>
      <c r="J1643" s="26"/>
    </row>
    <row r="1644" spans="2:10" ht="15.95" customHeight="1">
      <c r="B1644" s="456"/>
      <c r="E1644" s="457"/>
      <c r="F1644" s="443"/>
      <c r="G1644" s="26"/>
      <c r="H1644" s="26"/>
      <c r="I1644" s="26"/>
      <c r="J1644" s="26"/>
    </row>
    <row r="1645" spans="2:10" ht="15.95" customHeight="1">
      <c r="B1645" s="456"/>
      <c r="E1645" s="457"/>
      <c r="F1645" s="443"/>
      <c r="G1645" s="26"/>
      <c r="H1645" s="26"/>
      <c r="I1645" s="26"/>
      <c r="J1645" s="26"/>
    </row>
    <row r="1646" spans="2:10" ht="15.95" customHeight="1">
      <c r="B1646" s="456"/>
      <c r="E1646" s="457"/>
      <c r="F1646" s="443"/>
      <c r="G1646" s="26"/>
      <c r="H1646" s="26"/>
      <c r="I1646" s="26"/>
      <c r="J1646" s="26"/>
    </row>
    <row r="1647" spans="2:10" ht="15.95" customHeight="1">
      <c r="B1647" s="456"/>
      <c r="E1647" s="457"/>
      <c r="F1647" s="443"/>
      <c r="G1647" s="26"/>
      <c r="H1647" s="26"/>
      <c r="I1647" s="26"/>
      <c r="J1647" s="26"/>
    </row>
    <row r="1648" spans="2:10" ht="15.95" customHeight="1">
      <c r="B1648" s="456"/>
      <c r="E1648" s="457"/>
      <c r="F1648" s="443"/>
      <c r="G1648" s="26"/>
      <c r="H1648" s="26"/>
      <c r="I1648" s="26"/>
      <c r="J1648" s="26"/>
    </row>
    <row r="1649" spans="2:10" ht="15.95" customHeight="1">
      <c r="B1649" s="456"/>
      <c r="E1649" s="457"/>
      <c r="F1649" s="443"/>
      <c r="G1649" s="26"/>
      <c r="H1649" s="26"/>
      <c r="I1649" s="26"/>
      <c r="J1649" s="26"/>
    </row>
    <row r="1650" spans="2:10" ht="15.95" customHeight="1">
      <c r="B1650" s="456"/>
      <c r="E1650" s="457"/>
      <c r="F1650" s="443"/>
      <c r="G1650" s="26"/>
      <c r="H1650" s="26"/>
      <c r="I1650" s="26"/>
      <c r="J1650" s="26"/>
    </row>
    <row r="1651" spans="2:10" ht="15.95" customHeight="1">
      <c r="B1651" s="456"/>
      <c r="E1651" s="457"/>
      <c r="F1651" s="443"/>
      <c r="G1651" s="26"/>
      <c r="H1651" s="26"/>
      <c r="I1651" s="26"/>
      <c r="J1651" s="26"/>
    </row>
    <row r="1652" spans="2:10" ht="15.95" customHeight="1">
      <c r="B1652" s="456"/>
      <c r="E1652" s="457"/>
      <c r="F1652" s="443"/>
      <c r="G1652" s="26"/>
      <c r="H1652" s="26"/>
      <c r="I1652" s="26"/>
      <c r="J1652" s="26"/>
    </row>
    <row r="1653" spans="2:10" ht="15.95" customHeight="1">
      <c r="B1653" s="456"/>
      <c r="E1653" s="457"/>
      <c r="F1653" s="443"/>
      <c r="G1653" s="26"/>
      <c r="H1653" s="26"/>
      <c r="I1653" s="26"/>
      <c r="J1653" s="26"/>
    </row>
    <row r="1654" spans="2:10" ht="15.95" customHeight="1">
      <c r="B1654" s="456"/>
      <c r="E1654" s="457"/>
      <c r="F1654" s="443"/>
      <c r="G1654" s="26"/>
      <c r="H1654" s="26"/>
      <c r="I1654" s="26"/>
      <c r="J1654" s="26"/>
    </row>
    <row r="1655" spans="2:10" ht="15.95" customHeight="1">
      <c r="B1655" s="456"/>
      <c r="E1655" s="457"/>
      <c r="F1655" s="443"/>
      <c r="G1655" s="26"/>
      <c r="H1655" s="26"/>
      <c r="I1655" s="26"/>
      <c r="J1655" s="26"/>
    </row>
    <row r="1656" spans="2:10" ht="15.95" customHeight="1">
      <c r="B1656" s="456"/>
      <c r="E1656" s="457"/>
      <c r="F1656" s="443"/>
      <c r="G1656" s="26"/>
      <c r="H1656" s="26"/>
      <c r="I1656" s="26"/>
      <c r="J1656" s="26"/>
    </row>
    <row r="1657" spans="2:10" ht="15.95" customHeight="1">
      <c r="B1657" s="456"/>
      <c r="E1657" s="457"/>
      <c r="F1657" s="443"/>
      <c r="G1657" s="26"/>
      <c r="H1657" s="26"/>
      <c r="I1657" s="26"/>
      <c r="J1657" s="26"/>
    </row>
    <row r="1658" spans="2:10" ht="15.95" customHeight="1">
      <c r="B1658" s="456"/>
      <c r="E1658" s="457"/>
      <c r="F1658" s="443"/>
      <c r="G1658" s="26"/>
      <c r="H1658" s="26"/>
      <c r="I1658" s="26"/>
      <c r="J1658" s="26"/>
    </row>
    <row r="1659" spans="2:10" ht="15.95" customHeight="1">
      <c r="B1659" s="456"/>
      <c r="E1659" s="457"/>
      <c r="F1659" s="443"/>
      <c r="G1659" s="26"/>
      <c r="H1659" s="26"/>
      <c r="I1659" s="26"/>
      <c r="J1659" s="26"/>
    </row>
    <row r="1660" spans="2:10" ht="15.95" customHeight="1">
      <c r="B1660" s="456"/>
      <c r="E1660" s="457"/>
      <c r="F1660" s="443"/>
      <c r="G1660" s="26"/>
      <c r="H1660" s="26"/>
      <c r="I1660" s="26"/>
      <c r="J1660" s="26"/>
    </row>
    <row r="1661" spans="2:10" ht="15.95" customHeight="1">
      <c r="B1661" s="456"/>
      <c r="E1661" s="457"/>
      <c r="F1661" s="443"/>
      <c r="G1661" s="26"/>
      <c r="H1661" s="26"/>
      <c r="I1661" s="26"/>
      <c r="J1661" s="26"/>
    </row>
    <row r="1662" spans="2:10" ht="15.95" customHeight="1">
      <c r="B1662" s="456"/>
      <c r="E1662" s="457"/>
      <c r="F1662" s="443"/>
      <c r="G1662" s="26"/>
      <c r="H1662" s="26"/>
      <c r="I1662" s="26"/>
      <c r="J1662" s="26"/>
    </row>
    <row r="1663" spans="2:10" ht="15.95" customHeight="1">
      <c r="B1663" s="456"/>
      <c r="E1663" s="457"/>
      <c r="F1663" s="443"/>
      <c r="G1663" s="26"/>
      <c r="H1663" s="26"/>
      <c r="I1663" s="26"/>
      <c r="J1663" s="26"/>
    </row>
    <row r="1664" spans="2:10" ht="15.95" customHeight="1">
      <c r="B1664" s="456"/>
      <c r="E1664" s="457"/>
      <c r="F1664" s="443"/>
      <c r="G1664" s="26"/>
      <c r="H1664" s="26"/>
      <c r="I1664" s="26"/>
      <c r="J1664" s="26"/>
    </row>
    <row r="1665" spans="2:10" ht="15.95" customHeight="1">
      <c r="B1665" s="456"/>
      <c r="E1665" s="457"/>
      <c r="F1665" s="443"/>
      <c r="G1665" s="26"/>
      <c r="H1665" s="26"/>
      <c r="I1665" s="26"/>
      <c r="J1665" s="26"/>
    </row>
    <row r="1666" spans="2:10" ht="15.95" customHeight="1">
      <c r="B1666" s="456"/>
      <c r="E1666" s="457"/>
      <c r="F1666" s="443"/>
      <c r="G1666" s="26"/>
      <c r="H1666" s="26"/>
      <c r="I1666" s="26"/>
      <c r="J1666" s="26"/>
    </row>
    <row r="1667" spans="2:10" ht="15.95" customHeight="1">
      <c r="B1667" s="456"/>
      <c r="E1667" s="457"/>
      <c r="F1667" s="443"/>
      <c r="G1667" s="26"/>
      <c r="H1667" s="26"/>
      <c r="I1667" s="26"/>
      <c r="J1667" s="26"/>
    </row>
    <row r="1668" spans="2:10" ht="15.95" customHeight="1">
      <c r="B1668" s="456"/>
      <c r="E1668" s="457"/>
      <c r="F1668" s="443"/>
      <c r="G1668" s="26"/>
      <c r="H1668" s="26"/>
      <c r="I1668" s="26"/>
      <c r="J1668" s="26"/>
    </row>
    <row r="1669" spans="2:10" ht="15.95" customHeight="1">
      <c r="B1669" s="456"/>
      <c r="E1669" s="457"/>
      <c r="F1669" s="443"/>
      <c r="G1669" s="26"/>
      <c r="H1669" s="26"/>
      <c r="I1669" s="26"/>
      <c r="J1669" s="26"/>
    </row>
    <row r="1670" spans="2:10" ht="15.95" customHeight="1">
      <c r="B1670" s="456"/>
      <c r="E1670" s="457"/>
      <c r="F1670" s="443"/>
      <c r="G1670" s="26"/>
      <c r="H1670" s="26"/>
      <c r="I1670" s="26"/>
      <c r="J1670" s="26"/>
    </row>
    <row r="1671" spans="2:10" ht="15.95" customHeight="1">
      <c r="B1671" s="456"/>
      <c r="E1671" s="457"/>
      <c r="F1671" s="443"/>
      <c r="G1671" s="26"/>
      <c r="H1671" s="26"/>
      <c r="I1671" s="26"/>
      <c r="J1671" s="26"/>
    </row>
    <row r="1672" spans="2:10" ht="15.95" customHeight="1">
      <c r="B1672" s="456"/>
      <c r="E1672" s="457"/>
      <c r="F1672" s="443"/>
      <c r="G1672" s="26"/>
      <c r="H1672" s="26"/>
      <c r="I1672" s="26"/>
      <c r="J1672" s="26"/>
    </row>
    <row r="1673" spans="2:10" ht="15.95" customHeight="1">
      <c r="B1673" s="456"/>
      <c r="E1673" s="457"/>
      <c r="F1673" s="443"/>
      <c r="G1673" s="26"/>
      <c r="H1673" s="26"/>
      <c r="I1673" s="26"/>
      <c r="J1673" s="26"/>
    </row>
    <row r="1674" spans="2:10" ht="15.95" customHeight="1">
      <c r="B1674" s="456"/>
      <c r="E1674" s="457"/>
      <c r="F1674" s="443"/>
      <c r="G1674" s="26"/>
      <c r="H1674" s="26"/>
      <c r="I1674" s="26"/>
      <c r="J1674" s="26"/>
    </row>
    <row r="1675" spans="2:10" ht="15.95" customHeight="1">
      <c r="B1675" s="456"/>
      <c r="E1675" s="457"/>
      <c r="F1675" s="443"/>
      <c r="G1675" s="26"/>
      <c r="H1675" s="26"/>
      <c r="I1675" s="26"/>
      <c r="J1675" s="26"/>
    </row>
    <row r="1676" spans="2:10" ht="15.95" customHeight="1">
      <c r="B1676" s="456"/>
      <c r="E1676" s="457"/>
      <c r="F1676" s="443"/>
      <c r="G1676" s="26"/>
      <c r="H1676" s="26"/>
      <c r="I1676" s="26"/>
      <c r="J1676" s="26"/>
    </row>
    <row r="1677" spans="2:10" ht="15.95" customHeight="1">
      <c r="B1677" s="456"/>
      <c r="E1677" s="457"/>
      <c r="F1677" s="443"/>
      <c r="G1677" s="26"/>
      <c r="H1677" s="26"/>
      <c r="I1677" s="26"/>
      <c r="J1677" s="26"/>
    </row>
    <row r="1678" spans="2:10" ht="15.95" customHeight="1">
      <c r="B1678" s="456"/>
      <c r="E1678" s="457"/>
      <c r="F1678" s="443"/>
      <c r="G1678" s="26"/>
      <c r="H1678" s="26"/>
      <c r="I1678" s="26"/>
      <c r="J1678" s="26"/>
    </row>
    <row r="1679" spans="2:10" ht="15.95" customHeight="1">
      <c r="B1679" s="456"/>
      <c r="E1679" s="457"/>
      <c r="F1679" s="443"/>
      <c r="G1679" s="26"/>
      <c r="H1679" s="26"/>
      <c r="I1679" s="26"/>
      <c r="J1679" s="26"/>
    </row>
    <row r="1680" spans="2:10" ht="15.95" customHeight="1">
      <c r="B1680" s="456"/>
      <c r="E1680" s="457"/>
      <c r="F1680" s="443"/>
      <c r="G1680" s="26"/>
      <c r="H1680" s="26"/>
      <c r="I1680" s="26"/>
      <c r="J1680" s="26"/>
    </row>
    <row r="1681" spans="2:10" ht="15.95" customHeight="1">
      <c r="B1681" s="456"/>
      <c r="E1681" s="457"/>
      <c r="F1681" s="443"/>
      <c r="G1681" s="26"/>
      <c r="H1681" s="26"/>
      <c r="I1681" s="26"/>
      <c r="J1681" s="26"/>
    </row>
    <row r="1682" spans="2:10" ht="15.95" customHeight="1">
      <c r="B1682" s="456"/>
      <c r="E1682" s="457"/>
      <c r="F1682" s="443"/>
      <c r="G1682" s="26"/>
      <c r="H1682" s="26"/>
      <c r="I1682" s="26"/>
      <c r="J1682" s="26"/>
    </row>
    <row r="1683" spans="2:10" ht="15.95" customHeight="1">
      <c r="B1683" s="456"/>
      <c r="E1683" s="457"/>
      <c r="F1683" s="443"/>
      <c r="G1683" s="26"/>
      <c r="H1683" s="26"/>
      <c r="I1683" s="26"/>
      <c r="J1683" s="26"/>
    </row>
    <row r="1684" spans="2:10" ht="15.95" customHeight="1">
      <c r="B1684" s="456"/>
      <c r="E1684" s="457"/>
      <c r="F1684" s="443"/>
      <c r="G1684" s="26"/>
      <c r="H1684" s="26"/>
      <c r="I1684" s="26"/>
      <c r="J1684" s="26"/>
    </row>
    <row r="1685" spans="2:10" ht="15.95" customHeight="1">
      <c r="B1685" s="456"/>
      <c r="E1685" s="457"/>
      <c r="F1685" s="443"/>
      <c r="G1685" s="26"/>
      <c r="H1685" s="26"/>
      <c r="I1685" s="26"/>
      <c r="J1685" s="26"/>
    </row>
    <row r="1686" spans="2:10" ht="15.95" customHeight="1">
      <c r="B1686" s="456"/>
      <c r="E1686" s="457"/>
      <c r="F1686" s="443"/>
      <c r="G1686" s="26"/>
      <c r="H1686" s="26"/>
      <c r="I1686" s="26"/>
      <c r="J1686" s="26"/>
    </row>
    <row r="1687" spans="2:10" ht="15.95" customHeight="1">
      <c r="B1687" s="456"/>
      <c r="E1687" s="457"/>
      <c r="F1687" s="443"/>
      <c r="G1687" s="26"/>
      <c r="H1687" s="26"/>
      <c r="I1687" s="26"/>
      <c r="J1687" s="26"/>
    </row>
    <row r="1688" spans="2:10" ht="15.95" customHeight="1">
      <c r="B1688" s="456"/>
      <c r="E1688" s="457"/>
      <c r="F1688" s="443"/>
      <c r="G1688" s="26"/>
      <c r="H1688" s="26"/>
      <c r="I1688" s="26"/>
      <c r="J1688" s="26"/>
    </row>
    <row r="1689" spans="2:10" ht="15.95" customHeight="1">
      <c r="B1689" s="456"/>
      <c r="E1689" s="457"/>
      <c r="F1689" s="443"/>
      <c r="G1689" s="26"/>
      <c r="H1689" s="26"/>
      <c r="I1689" s="26"/>
      <c r="J1689" s="26"/>
    </row>
    <row r="1690" spans="2:10" ht="15.95" customHeight="1">
      <c r="B1690" s="456"/>
      <c r="E1690" s="457"/>
      <c r="F1690" s="443"/>
      <c r="G1690" s="26"/>
      <c r="H1690" s="26"/>
      <c r="I1690" s="26"/>
      <c r="J1690" s="26"/>
    </row>
    <row r="1691" spans="2:10" ht="15.95" customHeight="1">
      <c r="B1691" s="456"/>
      <c r="E1691" s="457"/>
      <c r="F1691" s="443"/>
      <c r="G1691" s="26"/>
      <c r="H1691" s="26"/>
      <c r="I1691" s="26"/>
      <c r="J1691" s="26"/>
    </row>
    <row r="1692" spans="2:10" ht="15.95" customHeight="1">
      <c r="B1692" s="456"/>
      <c r="E1692" s="457"/>
      <c r="F1692" s="443"/>
      <c r="G1692" s="26"/>
      <c r="H1692" s="26"/>
      <c r="I1692" s="26"/>
      <c r="J1692" s="26"/>
    </row>
    <row r="1693" spans="2:10" ht="15.95" customHeight="1">
      <c r="B1693" s="456"/>
      <c r="E1693" s="457"/>
      <c r="F1693" s="443"/>
      <c r="G1693" s="26"/>
      <c r="H1693" s="26"/>
      <c r="I1693" s="26"/>
      <c r="J1693" s="26"/>
    </row>
    <row r="1694" spans="2:10" ht="15.95" customHeight="1">
      <c r="B1694" s="456"/>
      <c r="E1694" s="457"/>
      <c r="F1694" s="443"/>
      <c r="G1694" s="26"/>
      <c r="H1694" s="26"/>
      <c r="I1694" s="26"/>
      <c r="J1694" s="26"/>
    </row>
    <row r="1695" spans="2:10" ht="15.95" customHeight="1">
      <c r="B1695" s="456"/>
      <c r="E1695" s="457"/>
      <c r="F1695" s="443"/>
      <c r="G1695" s="26"/>
      <c r="H1695" s="26"/>
      <c r="I1695" s="26"/>
      <c r="J1695" s="26"/>
    </row>
    <row r="1696" spans="2:10" ht="15.95" customHeight="1">
      <c r="B1696" s="456"/>
      <c r="E1696" s="457"/>
      <c r="F1696" s="443"/>
      <c r="G1696" s="26"/>
      <c r="H1696" s="26"/>
      <c r="I1696" s="26"/>
      <c r="J1696" s="26"/>
    </row>
    <row r="1697" spans="2:10" ht="15.95" customHeight="1">
      <c r="B1697" s="456"/>
      <c r="E1697" s="457"/>
      <c r="F1697" s="443"/>
      <c r="G1697" s="26"/>
      <c r="H1697" s="26"/>
      <c r="I1697" s="26"/>
      <c r="J1697" s="26"/>
    </row>
    <row r="1698" spans="2:10" ht="15.95" customHeight="1">
      <c r="B1698" s="456"/>
      <c r="E1698" s="457"/>
      <c r="F1698" s="443"/>
      <c r="G1698" s="26"/>
      <c r="H1698" s="26"/>
      <c r="I1698" s="26"/>
      <c r="J1698" s="26"/>
    </row>
    <row r="1699" spans="2:10" ht="15.95" customHeight="1">
      <c r="B1699" s="456"/>
      <c r="E1699" s="457"/>
      <c r="F1699" s="443"/>
      <c r="G1699" s="26"/>
      <c r="H1699" s="26"/>
      <c r="I1699" s="26"/>
      <c r="J1699" s="26"/>
    </row>
    <row r="1700" spans="2:10" ht="15.95" customHeight="1">
      <c r="B1700" s="456"/>
      <c r="E1700" s="457"/>
      <c r="F1700" s="443"/>
      <c r="G1700" s="26"/>
      <c r="H1700" s="26"/>
      <c r="I1700" s="26"/>
      <c r="J1700" s="26"/>
    </row>
    <row r="1701" spans="2:10" ht="15.95" customHeight="1">
      <c r="B1701" s="456"/>
      <c r="E1701" s="457"/>
      <c r="F1701" s="443"/>
      <c r="G1701" s="26"/>
      <c r="H1701" s="26"/>
      <c r="I1701" s="26"/>
      <c r="J1701" s="26"/>
    </row>
    <row r="1702" spans="2:10" ht="15.95" customHeight="1">
      <c r="B1702" s="456"/>
      <c r="E1702" s="457"/>
      <c r="F1702" s="443"/>
      <c r="G1702" s="26"/>
      <c r="H1702" s="26"/>
      <c r="I1702" s="26"/>
      <c r="J1702" s="26"/>
    </row>
    <row r="1703" spans="2:10" ht="15.95" customHeight="1">
      <c r="B1703" s="456"/>
      <c r="E1703" s="457"/>
      <c r="F1703" s="443"/>
      <c r="G1703" s="26"/>
      <c r="H1703" s="26"/>
      <c r="I1703" s="26"/>
      <c r="J1703" s="26"/>
    </row>
    <row r="1704" spans="2:10" ht="15.95" customHeight="1">
      <c r="B1704" s="456"/>
      <c r="E1704" s="457"/>
      <c r="F1704" s="443"/>
      <c r="G1704" s="26"/>
      <c r="H1704" s="26"/>
      <c r="I1704" s="26"/>
      <c r="J1704" s="26"/>
    </row>
    <row r="1705" spans="2:10" ht="15.95" customHeight="1">
      <c r="B1705" s="456"/>
      <c r="E1705" s="457"/>
      <c r="F1705" s="443"/>
      <c r="G1705" s="26"/>
      <c r="H1705" s="26"/>
      <c r="I1705" s="26"/>
      <c r="J1705" s="26"/>
    </row>
    <row r="1706" spans="2:10" ht="15.95" customHeight="1">
      <c r="B1706" s="456"/>
      <c r="E1706" s="457"/>
      <c r="F1706" s="443"/>
      <c r="G1706" s="26"/>
      <c r="H1706" s="26"/>
      <c r="I1706" s="26"/>
      <c r="J1706" s="26"/>
    </row>
    <row r="1707" spans="2:10" ht="15.95" customHeight="1">
      <c r="B1707" s="456"/>
      <c r="E1707" s="457"/>
      <c r="F1707" s="443"/>
      <c r="G1707" s="26"/>
      <c r="H1707" s="26"/>
      <c r="I1707" s="26"/>
      <c r="J1707" s="26"/>
    </row>
    <row r="1708" spans="2:10" ht="15.95" customHeight="1">
      <c r="B1708" s="456"/>
      <c r="E1708" s="457"/>
      <c r="F1708" s="443"/>
      <c r="G1708" s="26"/>
      <c r="H1708" s="26"/>
      <c r="I1708" s="26"/>
      <c r="J1708" s="26"/>
    </row>
    <row r="1709" spans="2:10" ht="15.95" customHeight="1">
      <c r="B1709" s="456"/>
      <c r="E1709" s="457"/>
      <c r="F1709" s="443"/>
      <c r="G1709" s="26"/>
      <c r="H1709" s="26"/>
      <c r="I1709" s="26"/>
      <c r="J1709" s="26"/>
    </row>
    <row r="1710" spans="2:10" ht="15.95" customHeight="1">
      <c r="B1710" s="456"/>
      <c r="E1710" s="457"/>
      <c r="F1710" s="443"/>
      <c r="G1710" s="26"/>
      <c r="H1710" s="26"/>
      <c r="I1710" s="26"/>
      <c r="J1710" s="26"/>
    </row>
    <row r="1711" spans="2:10" ht="15.95" customHeight="1">
      <c r="B1711" s="456"/>
      <c r="E1711" s="457"/>
      <c r="F1711" s="443"/>
      <c r="G1711" s="26"/>
      <c r="H1711" s="26"/>
      <c r="I1711" s="26"/>
      <c r="J1711" s="26"/>
    </row>
    <row r="1712" spans="2:10" ht="15.95" customHeight="1">
      <c r="B1712" s="456"/>
      <c r="E1712" s="457"/>
      <c r="F1712" s="443"/>
      <c r="G1712" s="26"/>
      <c r="H1712" s="26"/>
      <c r="I1712" s="26"/>
      <c r="J1712" s="26"/>
    </row>
    <row r="1713" spans="2:10" ht="15.95" customHeight="1">
      <c r="B1713" s="456"/>
      <c r="E1713" s="457"/>
      <c r="F1713" s="443"/>
      <c r="G1713" s="26"/>
      <c r="H1713" s="26"/>
      <c r="I1713" s="26"/>
      <c r="J1713" s="26"/>
    </row>
    <row r="1714" spans="2:10" ht="15.95" customHeight="1">
      <c r="B1714" s="456"/>
      <c r="E1714" s="457"/>
      <c r="F1714" s="443"/>
      <c r="G1714" s="26"/>
      <c r="H1714" s="26"/>
      <c r="I1714" s="26"/>
      <c r="J1714" s="26"/>
    </row>
    <row r="1715" spans="2:10" ht="15.95" customHeight="1">
      <c r="B1715" s="456"/>
      <c r="E1715" s="457"/>
      <c r="F1715" s="443"/>
      <c r="G1715" s="26"/>
      <c r="H1715" s="26"/>
      <c r="I1715" s="26"/>
      <c r="J1715" s="26"/>
    </row>
    <row r="1716" spans="2:10" ht="15.95" customHeight="1">
      <c r="B1716" s="456"/>
      <c r="E1716" s="457"/>
      <c r="F1716" s="443"/>
      <c r="G1716" s="26"/>
      <c r="H1716" s="26"/>
      <c r="I1716" s="26"/>
      <c r="J1716" s="26"/>
    </row>
    <row r="1717" spans="2:10" ht="15.95" customHeight="1">
      <c r="B1717" s="456"/>
      <c r="E1717" s="457"/>
      <c r="F1717" s="443"/>
      <c r="G1717" s="26"/>
      <c r="H1717" s="26"/>
      <c r="I1717" s="26"/>
      <c r="J1717" s="26"/>
    </row>
    <row r="1718" spans="2:10" ht="15.95" customHeight="1">
      <c r="B1718" s="456"/>
      <c r="E1718" s="457"/>
      <c r="F1718" s="443"/>
      <c r="G1718" s="26"/>
      <c r="H1718" s="26"/>
      <c r="I1718" s="26"/>
      <c r="J1718" s="26"/>
    </row>
    <row r="1719" spans="2:10" ht="15.95" customHeight="1">
      <c r="B1719" s="456"/>
      <c r="E1719" s="457"/>
      <c r="F1719" s="443"/>
      <c r="G1719" s="26"/>
      <c r="H1719" s="26"/>
      <c r="I1719" s="26"/>
      <c r="J1719" s="26"/>
    </row>
    <row r="1720" spans="2:10" ht="15.95" customHeight="1">
      <c r="B1720" s="456"/>
      <c r="E1720" s="457"/>
      <c r="F1720" s="443"/>
      <c r="G1720" s="26"/>
      <c r="H1720" s="26"/>
      <c r="I1720" s="26"/>
      <c r="J1720" s="26"/>
    </row>
    <row r="1721" spans="2:10" ht="15.95" customHeight="1">
      <c r="B1721" s="456"/>
      <c r="E1721" s="457"/>
      <c r="F1721" s="443"/>
      <c r="G1721" s="26"/>
      <c r="H1721" s="26"/>
      <c r="I1721" s="26"/>
      <c r="J1721" s="26"/>
    </row>
    <row r="1722" spans="2:10" ht="15.95" customHeight="1">
      <c r="B1722" s="456"/>
      <c r="E1722" s="457"/>
      <c r="F1722" s="443"/>
      <c r="G1722" s="26"/>
      <c r="H1722" s="26"/>
      <c r="I1722" s="26"/>
      <c r="J1722" s="26"/>
    </row>
    <row r="1723" spans="2:10" ht="15.95" customHeight="1">
      <c r="B1723" s="456"/>
      <c r="E1723" s="457"/>
      <c r="F1723" s="443"/>
      <c r="G1723" s="26"/>
      <c r="H1723" s="26"/>
      <c r="I1723" s="26"/>
      <c r="J1723" s="26"/>
    </row>
    <row r="1724" spans="2:10" ht="15.95" customHeight="1">
      <c r="B1724" s="456"/>
      <c r="E1724" s="457"/>
      <c r="F1724" s="443"/>
      <c r="G1724" s="26"/>
      <c r="H1724" s="26"/>
      <c r="I1724" s="26"/>
      <c r="J1724" s="26"/>
    </row>
    <row r="1725" spans="2:10" ht="15.95" customHeight="1">
      <c r="B1725" s="456"/>
      <c r="E1725" s="457"/>
      <c r="F1725" s="443"/>
      <c r="G1725" s="26"/>
      <c r="H1725" s="26"/>
      <c r="I1725" s="26"/>
      <c r="J1725" s="26"/>
    </row>
    <row r="1726" spans="2:10" ht="15.95" customHeight="1">
      <c r="B1726" s="456"/>
      <c r="E1726" s="457"/>
      <c r="F1726" s="443"/>
      <c r="G1726" s="26"/>
      <c r="H1726" s="26"/>
      <c r="I1726" s="26"/>
      <c r="J1726" s="26"/>
    </row>
    <row r="1727" spans="2:10" ht="15.95" customHeight="1">
      <c r="B1727" s="456"/>
      <c r="E1727" s="457"/>
      <c r="F1727" s="443"/>
      <c r="G1727" s="26"/>
      <c r="H1727" s="26"/>
      <c r="I1727" s="26"/>
      <c r="J1727" s="26"/>
    </row>
    <row r="1728" spans="2:10" ht="15.95" customHeight="1">
      <c r="B1728" s="456"/>
      <c r="E1728" s="457"/>
      <c r="F1728" s="443"/>
      <c r="G1728" s="26"/>
      <c r="H1728" s="26"/>
      <c r="I1728" s="26"/>
      <c r="J1728" s="26"/>
    </row>
    <row r="1729" spans="2:10" ht="15.95" customHeight="1">
      <c r="B1729" s="456"/>
      <c r="E1729" s="457"/>
      <c r="F1729" s="443"/>
      <c r="G1729" s="26"/>
      <c r="H1729" s="26"/>
      <c r="I1729" s="26"/>
      <c r="J1729" s="26"/>
    </row>
    <row r="1730" spans="2:10" ht="15.95" customHeight="1">
      <c r="B1730" s="456"/>
      <c r="E1730" s="457"/>
      <c r="F1730" s="443"/>
      <c r="G1730" s="26"/>
      <c r="H1730" s="26"/>
      <c r="I1730" s="26"/>
      <c r="J1730" s="26"/>
    </row>
    <row r="1731" spans="2:10" ht="15.95" customHeight="1">
      <c r="B1731" s="456"/>
      <c r="E1731" s="457"/>
      <c r="F1731" s="443"/>
      <c r="G1731" s="26"/>
      <c r="H1731" s="26"/>
      <c r="I1731" s="26"/>
      <c r="J1731" s="26"/>
    </row>
    <row r="1732" spans="2:10" ht="15.95" customHeight="1">
      <c r="B1732" s="456"/>
      <c r="E1732" s="457"/>
      <c r="F1732" s="443"/>
      <c r="G1732" s="26"/>
      <c r="H1732" s="26"/>
      <c r="I1732" s="26"/>
      <c r="J1732" s="26"/>
    </row>
    <row r="1733" spans="2:10" ht="15.95" customHeight="1">
      <c r="B1733" s="456"/>
      <c r="E1733" s="457"/>
      <c r="F1733" s="443"/>
      <c r="G1733" s="26"/>
      <c r="H1733" s="26"/>
      <c r="I1733" s="26"/>
      <c r="J1733" s="26"/>
    </row>
    <row r="1734" spans="2:10" ht="15.95" customHeight="1">
      <c r="B1734" s="456"/>
      <c r="E1734" s="457"/>
      <c r="F1734" s="443"/>
      <c r="G1734" s="26"/>
      <c r="H1734" s="26"/>
      <c r="I1734" s="26"/>
      <c r="J1734" s="26"/>
    </row>
    <row r="1735" spans="2:10" ht="15.95" customHeight="1">
      <c r="B1735" s="456"/>
      <c r="E1735" s="457"/>
      <c r="F1735" s="443"/>
      <c r="G1735" s="26"/>
      <c r="H1735" s="26"/>
      <c r="I1735" s="26"/>
      <c r="J1735" s="26"/>
    </row>
    <row r="1736" spans="2:10" ht="15.95" customHeight="1">
      <c r="B1736" s="456"/>
      <c r="E1736" s="457"/>
      <c r="F1736" s="443"/>
      <c r="G1736" s="26"/>
      <c r="H1736" s="26"/>
      <c r="I1736" s="26"/>
      <c r="J1736" s="26"/>
    </row>
    <row r="1737" spans="2:10" ht="15.95" customHeight="1">
      <c r="B1737" s="456"/>
      <c r="E1737" s="457"/>
      <c r="F1737" s="443"/>
      <c r="G1737" s="26"/>
      <c r="H1737" s="26"/>
      <c r="I1737" s="26"/>
      <c r="J1737" s="26"/>
    </row>
    <row r="1738" spans="2:10" ht="15.95" customHeight="1">
      <c r="B1738" s="456"/>
      <c r="E1738" s="457"/>
      <c r="F1738" s="443"/>
      <c r="G1738" s="26"/>
      <c r="H1738" s="26"/>
      <c r="I1738" s="26"/>
      <c r="J1738" s="26"/>
    </row>
    <row r="1739" spans="2:10" ht="15.95" customHeight="1">
      <c r="B1739" s="456"/>
      <c r="E1739" s="457"/>
      <c r="F1739" s="443"/>
      <c r="G1739" s="26"/>
      <c r="H1739" s="26"/>
      <c r="I1739" s="26"/>
      <c r="J1739" s="26"/>
    </row>
    <row r="1740" spans="2:10" ht="15.95" customHeight="1">
      <c r="B1740" s="456"/>
      <c r="E1740" s="457"/>
      <c r="F1740" s="443"/>
      <c r="G1740" s="26"/>
      <c r="H1740" s="26"/>
      <c r="I1740" s="26"/>
      <c r="J1740" s="26"/>
    </row>
    <row r="1741" spans="2:10" ht="15.95" customHeight="1">
      <c r="B1741" s="456"/>
      <c r="E1741" s="457"/>
      <c r="F1741" s="443"/>
      <c r="G1741" s="26"/>
      <c r="H1741" s="26"/>
      <c r="I1741" s="26"/>
      <c r="J1741" s="26"/>
    </row>
    <row r="1742" spans="2:10" ht="15.95" customHeight="1">
      <c r="B1742" s="456"/>
      <c r="E1742" s="457"/>
      <c r="F1742" s="443"/>
      <c r="G1742" s="26"/>
      <c r="H1742" s="26"/>
      <c r="I1742" s="26"/>
      <c r="J1742" s="26"/>
    </row>
    <row r="1743" spans="2:10" ht="15.95" customHeight="1">
      <c r="B1743" s="456"/>
      <c r="E1743" s="457"/>
      <c r="F1743" s="443"/>
      <c r="G1743" s="26"/>
      <c r="H1743" s="26"/>
      <c r="I1743" s="26"/>
      <c r="J1743" s="26"/>
    </row>
    <row r="1744" spans="2:10" ht="15.95" customHeight="1">
      <c r="B1744" s="456"/>
      <c r="E1744" s="457"/>
      <c r="F1744" s="443"/>
      <c r="G1744" s="26"/>
      <c r="H1744" s="26"/>
      <c r="I1744" s="26"/>
      <c r="J1744" s="26"/>
    </row>
    <row r="1745" spans="2:10" ht="15.95" customHeight="1">
      <c r="B1745" s="456"/>
      <c r="E1745" s="457"/>
      <c r="F1745" s="443"/>
      <c r="G1745" s="26"/>
      <c r="H1745" s="26"/>
      <c r="I1745" s="26"/>
      <c r="J1745" s="26"/>
    </row>
    <row r="1746" spans="2:10" ht="15.95" customHeight="1">
      <c r="B1746" s="456"/>
      <c r="E1746" s="457"/>
      <c r="F1746" s="443"/>
      <c r="G1746" s="26"/>
      <c r="H1746" s="26"/>
      <c r="I1746" s="26"/>
      <c r="J1746" s="26"/>
    </row>
    <row r="1747" spans="2:10" ht="15.95" customHeight="1">
      <c r="B1747" s="456"/>
      <c r="E1747" s="457"/>
      <c r="F1747" s="443"/>
      <c r="G1747" s="26"/>
      <c r="H1747" s="26"/>
      <c r="I1747" s="26"/>
      <c r="J1747" s="26"/>
    </row>
    <row r="1748" spans="2:10" ht="15.95" customHeight="1">
      <c r="B1748" s="456"/>
      <c r="E1748" s="457"/>
      <c r="F1748" s="443"/>
      <c r="G1748" s="26"/>
      <c r="H1748" s="26"/>
      <c r="I1748" s="26"/>
      <c r="J1748" s="26"/>
    </row>
    <row r="1749" spans="2:10" ht="15.95" customHeight="1">
      <c r="B1749" s="456"/>
      <c r="E1749" s="457"/>
      <c r="F1749" s="443"/>
      <c r="G1749" s="26"/>
      <c r="H1749" s="26"/>
      <c r="I1749" s="26"/>
      <c r="J1749" s="26"/>
    </row>
    <row r="1750" spans="2:10" ht="15.95" customHeight="1">
      <c r="B1750" s="456"/>
      <c r="E1750" s="457"/>
      <c r="F1750" s="443"/>
      <c r="G1750" s="26"/>
      <c r="H1750" s="26"/>
      <c r="I1750" s="26"/>
      <c r="J1750" s="26"/>
    </row>
    <row r="1751" spans="2:10" ht="15.95" customHeight="1">
      <c r="B1751" s="456"/>
      <c r="E1751" s="457"/>
      <c r="F1751" s="443"/>
      <c r="G1751" s="26"/>
      <c r="H1751" s="26"/>
      <c r="I1751" s="26"/>
      <c r="J1751" s="26"/>
    </row>
    <row r="1752" spans="2:10" ht="15.95" customHeight="1">
      <c r="B1752" s="456"/>
      <c r="E1752" s="457"/>
      <c r="F1752" s="443"/>
      <c r="G1752" s="26"/>
      <c r="H1752" s="26"/>
      <c r="I1752" s="26"/>
      <c r="J1752" s="26"/>
    </row>
    <row r="1753" spans="2:10" ht="15.95" customHeight="1">
      <c r="B1753" s="456"/>
      <c r="E1753" s="457"/>
      <c r="F1753" s="443"/>
      <c r="G1753" s="26"/>
      <c r="H1753" s="26"/>
      <c r="I1753" s="26"/>
      <c r="J1753" s="26"/>
    </row>
    <row r="1754" spans="2:10" ht="15.95" customHeight="1">
      <c r="B1754" s="456"/>
      <c r="E1754" s="457"/>
      <c r="F1754" s="443"/>
      <c r="G1754" s="26"/>
      <c r="H1754" s="26"/>
      <c r="I1754" s="26"/>
      <c r="J1754" s="26"/>
    </row>
    <row r="1755" spans="2:10" ht="15.95" customHeight="1">
      <c r="B1755" s="456"/>
      <c r="E1755" s="457"/>
      <c r="F1755" s="443"/>
      <c r="G1755" s="26"/>
      <c r="H1755" s="26"/>
      <c r="I1755" s="26"/>
      <c r="J1755" s="26"/>
    </row>
    <row r="1756" spans="2:10" ht="15.95" customHeight="1">
      <c r="B1756" s="456"/>
      <c r="E1756" s="457"/>
      <c r="F1756" s="443"/>
      <c r="G1756" s="26"/>
      <c r="H1756" s="26"/>
      <c r="I1756" s="26"/>
      <c r="J1756" s="26"/>
    </row>
    <row r="1757" spans="2:10" ht="15.95" customHeight="1">
      <c r="B1757" s="456"/>
      <c r="E1757" s="457"/>
      <c r="F1757" s="443"/>
      <c r="G1757" s="26"/>
      <c r="H1757" s="26"/>
      <c r="I1757" s="26"/>
      <c r="J1757" s="26"/>
    </row>
    <row r="1758" spans="2:10" ht="15.95" customHeight="1">
      <c r="B1758" s="456"/>
      <c r="E1758" s="457"/>
      <c r="F1758" s="443"/>
      <c r="G1758" s="26"/>
      <c r="H1758" s="26"/>
      <c r="I1758" s="26"/>
      <c r="J1758" s="26"/>
    </row>
    <row r="1759" spans="2:10" ht="15.95" customHeight="1">
      <c r="B1759" s="456"/>
      <c r="E1759" s="457"/>
      <c r="F1759" s="443"/>
      <c r="G1759" s="26"/>
      <c r="H1759" s="26"/>
      <c r="I1759" s="26"/>
      <c r="J1759" s="26"/>
    </row>
    <row r="1760" spans="2:10" ht="15.95" customHeight="1">
      <c r="B1760" s="456"/>
      <c r="E1760" s="457"/>
      <c r="F1760" s="443"/>
      <c r="G1760" s="26"/>
      <c r="H1760" s="26"/>
      <c r="I1760" s="26"/>
      <c r="J1760" s="26"/>
    </row>
    <row r="1761" spans="2:10" ht="15.95" customHeight="1">
      <c r="B1761" s="456"/>
      <c r="E1761" s="457"/>
      <c r="F1761" s="443"/>
      <c r="G1761" s="26"/>
      <c r="H1761" s="26"/>
      <c r="I1761" s="26"/>
      <c r="J1761" s="26"/>
    </row>
    <row r="1762" spans="2:10" ht="15.95" customHeight="1">
      <c r="B1762" s="456"/>
      <c r="E1762" s="457"/>
      <c r="F1762" s="443"/>
      <c r="G1762" s="26"/>
      <c r="H1762" s="26"/>
      <c r="I1762" s="26"/>
      <c r="J1762" s="26"/>
    </row>
    <row r="1763" spans="2:10" ht="15.95" customHeight="1">
      <c r="B1763" s="456"/>
      <c r="E1763" s="457"/>
      <c r="F1763" s="443"/>
      <c r="G1763" s="26"/>
      <c r="H1763" s="26"/>
      <c r="I1763" s="26"/>
      <c r="J1763" s="26"/>
    </row>
    <row r="1764" spans="2:10" ht="15.95" customHeight="1">
      <c r="B1764" s="456"/>
      <c r="E1764" s="457"/>
      <c r="F1764" s="443"/>
      <c r="G1764" s="26"/>
      <c r="H1764" s="26"/>
      <c r="I1764" s="26"/>
      <c r="J1764" s="26"/>
    </row>
    <row r="1765" spans="2:10" ht="15.95" customHeight="1">
      <c r="B1765" s="456"/>
      <c r="E1765" s="457"/>
      <c r="F1765" s="443"/>
      <c r="G1765" s="26"/>
      <c r="H1765" s="26"/>
      <c r="I1765" s="26"/>
      <c r="J1765" s="26"/>
    </row>
    <row r="1766" spans="2:10" ht="15.95" customHeight="1">
      <c r="B1766" s="456"/>
      <c r="E1766" s="457"/>
      <c r="F1766" s="443"/>
      <c r="G1766" s="26"/>
      <c r="H1766" s="26"/>
      <c r="I1766" s="26"/>
      <c r="J1766" s="26"/>
    </row>
    <row r="1767" spans="2:10" ht="15.95" customHeight="1">
      <c r="B1767" s="456"/>
      <c r="E1767" s="457"/>
      <c r="F1767" s="443"/>
      <c r="G1767" s="26"/>
      <c r="H1767" s="26"/>
      <c r="I1767" s="26"/>
      <c r="J1767" s="26"/>
    </row>
    <row r="1768" spans="2:10" ht="15.95" customHeight="1">
      <c r="B1768" s="456"/>
      <c r="E1768" s="457"/>
      <c r="F1768" s="443"/>
      <c r="G1768" s="26"/>
      <c r="H1768" s="26"/>
      <c r="I1768" s="26"/>
      <c r="J1768" s="26"/>
    </row>
    <row r="1769" spans="2:10" ht="15.95" customHeight="1">
      <c r="B1769" s="456"/>
      <c r="E1769" s="457"/>
      <c r="F1769" s="443"/>
      <c r="G1769" s="26"/>
      <c r="H1769" s="26"/>
      <c r="I1769" s="26"/>
      <c r="J1769" s="26"/>
    </row>
    <row r="1770" spans="2:10" ht="15.95" customHeight="1">
      <c r="B1770" s="456"/>
      <c r="E1770" s="457"/>
      <c r="F1770" s="443"/>
      <c r="G1770" s="26"/>
      <c r="H1770" s="26"/>
      <c r="I1770" s="26"/>
      <c r="J1770" s="26"/>
    </row>
    <row r="1771" spans="2:10" ht="15.95" customHeight="1">
      <c r="B1771" s="456"/>
      <c r="E1771" s="457"/>
      <c r="F1771" s="443"/>
      <c r="G1771" s="26"/>
      <c r="H1771" s="26"/>
      <c r="I1771" s="26"/>
      <c r="J1771" s="26"/>
    </row>
    <row r="1772" spans="2:10" ht="15.95" customHeight="1">
      <c r="B1772" s="456"/>
      <c r="E1772" s="457"/>
      <c r="F1772" s="443"/>
      <c r="G1772" s="26"/>
      <c r="H1772" s="26"/>
      <c r="I1772" s="26"/>
      <c r="J1772" s="26"/>
    </row>
    <row r="1773" spans="2:10" ht="15.95" customHeight="1">
      <c r="B1773" s="456"/>
      <c r="E1773" s="457"/>
      <c r="F1773" s="443"/>
      <c r="G1773" s="26"/>
      <c r="H1773" s="26"/>
      <c r="I1773" s="26"/>
      <c r="J1773" s="26"/>
    </row>
    <row r="1774" spans="2:10" ht="15.95" customHeight="1">
      <c r="B1774" s="456"/>
      <c r="E1774" s="457"/>
      <c r="F1774" s="443"/>
      <c r="G1774" s="26"/>
      <c r="H1774" s="26"/>
      <c r="I1774" s="26"/>
      <c r="J1774" s="26"/>
    </row>
    <row r="1775" spans="2:10" ht="15.95" customHeight="1">
      <c r="B1775" s="456"/>
      <c r="E1775" s="457"/>
      <c r="F1775" s="443"/>
      <c r="G1775" s="26"/>
      <c r="H1775" s="26"/>
      <c r="I1775" s="26"/>
      <c r="J1775" s="26"/>
    </row>
    <row r="1776" spans="2:10" ht="15.95" customHeight="1">
      <c r="B1776" s="456"/>
      <c r="E1776" s="457"/>
      <c r="F1776" s="443"/>
      <c r="G1776" s="26"/>
      <c r="H1776" s="26"/>
      <c r="I1776" s="26"/>
      <c r="J1776" s="26"/>
    </row>
    <row r="1777" spans="2:10" ht="15.95" customHeight="1">
      <c r="B1777" s="456"/>
      <c r="E1777" s="457"/>
      <c r="F1777" s="443"/>
      <c r="G1777" s="26"/>
      <c r="H1777" s="26"/>
      <c r="I1777" s="26"/>
      <c r="J1777" s="26"/>
    </row>
    <row r="1778" spans="2:10" ht="15.95" customHeight="1">
      <c r="B1778" s="456"/>
      <c r="E1778" s="457"/>
      <c r="F1778" s="443"/>
      <c r="G1778" s="26"/>
      <c r="H1778" s="26"/>
      <c r="I1778" s="26"/>
      <c r="J1778" s="26"/>
    </row>
    <row r="1779" spans="2:10" ht="15.95" customHeight="1">
      <c r="B1779" s="456"/>
      <c r="E1779" s="457"/>
      <c r="F1779" s="443"/>
      <c r="G1779" s="26"/>
      <c r="H1779" s="26"/>
      <c r="I1779" s="26"/>
      <c r="J1779" s="26"/>
    </row>
    <row r="1780" spans="2:10" ht="15.95" customHeight="1">
      <c r="B1780" s="456"/>
      <c r="E1780" s="457"/>
      <c r="F1780" s="443"/>
      <c r="G1780" s="26"/>
      <c r="H1780" s="26"/>
      <c r="I1780" s="26"/>
      <c r="J1780" s="26"/>
    </row>
    <row r="1781" spans="2:10" ht="15.95" customHeight="1">
      <c r="B1781" s="456"/>
      <c r="E1781" s="457"/>
      <c r="F1781" s="443"/>
      <c r="G1781" s="26"/>
      <c r="H1781" s="26"/>
      <c r="I1781" s="26"/>
      <c r="J1781" s="26"/>
    </row>
    <row r="1782" spans="2:10" ht="15.95" customHeight="1">
      <c r="B1782" s="456"/>
      <c r="E1782" s="457"/>
      <c r="F1782" s="443"/>
      <c r="G1782" s="26"/>
      <c r="H1782" s="26"/>
      <c r="I1782" s="26"/>
      <c r="J1782" s="26"/>
    </row>
    <row r="1783" spans="2:10" ht="15.95" customHeight="1">
      <c r="B1783" s="456"/>
      <c r="E1783" s="457"/>
      <c r="F1783" s="443"/>
      <c r="G1783" s="26"/>
      <c r="H1783" s="26"/>
      <c r="I1783" s="26"/>
      <c r="J1783" s="26"/>
    </row>
    <row r="1784" spans="2:10" ht="15.95" customHeight="1">
      <c r="B1784" s="456"/>
      <c r="E1784" s="457"/>
      <c r="F1784" s="443"/>
      <c r="G1784" s="26"/>
      <c r="H1784" s="26"/>
      <c r="I1784" s="26"/>
      <c r="J1784" s="26"/>
    </row>
    <row r="1785" spans="2:10" ht="15.95" customHeight="1">
      <c r="B1785" s="456"/>
      <c r="E1785" s="457"/>
      <c r="F1785" s="443"/>
      <c r="G1785" s="26"/>
      <c r="H1785" s="26"/>
      <c r="I1785" s="26"/>
      <c r="J1785" s="26"/>
    </row>
    <row r="1786" spans="2:10" ht="15.95" customHeight="1">
      <c r="B1786" s="456"/>
      <c r="E1786" s="457"/>
      <c r="F1786" s="443"/>
      <c r="G1786" s="26"/>
      <c r="H1786" s="26"/>
      <c r="I1786" s="26"/>
      <c r="J1786" s="26"/>
    </row>
    <row r="1787" spans="2:10" ht="15.95" customHeight="1">
      <c r="B1787" s="456"/>
      <c r="E1787" s="457"/>
      <c r="F1787" s="443"/>
      <c r="G1787" s="26"/>
      <c r="H1787" s="26"/>
      <c r="I1787" s="26"/>
      <c r="J1787" s="26"/>
    </row>
    <row r="1788" spans="2:10" ht="15.95" customHeight="1">
      <c r="B1788" s="456"/>
      <c r="E1788" s="457"/>
      <c r="F1788" s="443"/>
      <c r="G1788" s="26"/>
      <c r="H1788" s="26"/>
      <c r="I1788" s="26"/>
      <c r="J1788" s="26"/>
    </row>
    <row r="1789" spans="2:10" ht="15.95" customHeight="1">
      <c r="B1789" s="456"/>
      <c r="E1789" s="457"/>
      <c r="F1789" s="443"/>
      <c r="G1789" s="26"/>
      <c r="H1789" s="26"/>
      <c r="I1789" s="26"/>
      <c r="J1789" s="26"/>
    </row>
    <row r="1790" spans="2:10" ht="15.95" customHeight="1">
      <c r="B1790" s="456"/>
      <c r="E1790" s="457"/>
      <c r="F1790" s="443"/>
      <c r="G1790" s="26"/>
      <c r="H1790" s="26"/>
      <c r="I1790" s="26"/>
      <c r="J1790" s="26"/>
    </row>
    <row r="1791" spans="2:10" ht="15.95" customHeight="1">
      <c r="B1791" s="456"/>
      <c r="E1791" s="457"/>
      <c r="F1791" s="443"/>
      <c r="G1791" s="26"/>
      <c r="H1791" s="26"/>
      <c r="I1791" s="26"/>
      <c r="J1791" s="26"/>
    </row>
    <row r="1792" spans="2:10" ht="15.95" customHeight="1">
      <c r="B1792" s="456"/>
      <c r="E1792" s="457"/>
      <c r="F1792" s="443"/>
      <c r="G1792" s="26"/>
      <c r="H1792" s="26"/>
      <c r="I1792" s="26"/>
      <c r="J1792" s="26"/>
    </row>
    <row r="1793" spans="2:10" ht="15.95" customHeight="1">
      <c r="B1793" s="456"/>
      <c r="E1793" s="457"/>
      <c r="F1793" s="443"/>
      <c r="G1793" s="26"/>
      <c r="H1793" s="26"/>
      <c r="I1793" s="26"/>
      <c r="J1793" s="26"/>
    </row>
    <row r="1794" spans="2:10" ht="15.95" customHeight="1">
      <c r="B1794" s="456"/>
      <c r="E1794" s="457"/>
      <c r="F1794" s="443"/>
      <c r="G1794" s="26"/>
      <c r="H1794" s="26"/>
      <c r="I1794" s="26"/>
      <c r="J1794" s="26"/>
    </row>
    <row r="1795" spans="2:10" ht="15.95" customHeight="1">
      <c r="B1795" s="456"/>
      <c r="E1795" s="457"/>
      <c r="F1795" s="443"/>
      <c r="G1795" s="26"/>
      <c r="H1795" s="26"/>
      <c r="I1795" s="26"/>
      <c r="J1795" s="26"/>
    </row>
    <row r="1796" spans="2:10" ht="15.95" customHeight="1">
      <c r="B1796" s="456"/>
      <c r="E1796" s="457"/>
      <c r="F1796" s="443"/>
      <c r="G1796" s="26"/>
      <c r="H1796" s="26"/>
      <c r="I1796" s="26"/>
      <c r="J1796" s="26"/>
    </row>
    <row r="1797" spans="2:10" ht="15.95" customHeight="1">
      <c r="B1797" s="456"/>
      <c r="E1797" s="457"/>
      <c r="F1797" s="443"/>
      <c r="G1797" s="26"/>
      <c r="H1797" s="26"/>
      <c r="I1797" s="26"/>
      <c r="J1797" s="26"/>
    </row>
    <row r="1798" spans="2:10" ht="15.95" customHeight="1">
      <c r="B1798" s="456"/>
      <c r="E1798" s="457"/>
      <c r="F1798" s="443"/>
      <c r="G1798" s="26"/>
      <c r="H1798" s="26"/>
      <c r="I1798" s="26"/>
      <c r="J1798" s="26"/>
    </row>
    <row r="1799" spans="2:10" ht="15.95" customHeight="1">
      <c r="B1799" s="456"/>
      <c r="E1799" s="457"/>
      <c r="F1799" s="443"/>
      <c r="G1799" s="26"/>
      <c r="H1799" s="26"/>
      <c r="I1799" s="26"/>
      <c r="J1799" s="26"/>
    </row>
    <row r="1800" spans="2:10" ht="15.95" customHeight="1">
      <c r="B1800" s="456"/>
      <c r="E1800" s="457"/>
      <c r="F1800" s="443"/>
      <c r="G1800" s="26"/>
      <c r="H1800" s="26"/>
      <c r="I1800" s="26"/>
      <c r="J1800" s="26"/>
    </row>
    <row r="1801" spans="2:10" ht="15.95" customHeight="1">
      <c r="B1801" s="456"/>
      <c r="E1801" s="457"/>
      <c r="F1801" s="443"/>
      <c r="G1801" s="26"/>
      <c r="H1801" s="26"/>
      <c r="I1801" s="26"/>
      <c r="J1801" s="26"/>
    </row>
    <row r="1802" spans="2:10" ht="15.95" customHeight="1">
      <c r="B1802" s="456"/>
      <c r="E1802" s="457"/>
      <c r="F1802" s="443"/>
      <c r="G1802" s="26"/>
      <c r="H1802" s="26"/>
      <c r="I1802" s="26"/>
      <c r="J1802" s="26"/>
    </row>
    <row r="1803" spans="2:10" ht="15.95" customHeight="1">
      <c r="B1803" s="456"/>
      <c r="E1803" s="457"/>
      <c r="F1803" s="443"/>
      <c r="G1803" s="26"/>
      <c r="H1803" s="26"/>
      <c r="I1803" s="26"/>
      <c r="J1803" s="26"/>
    </row>
    <row r="1804" spans="2:10" ht="15.95" customHeight="1">
      <c r="B1804" s="456"/>
      <c r="E1804" s="457"/>
      <c r="F1804" s="443"/>
      <c r="G1804" s="26"/>
      <c r="H1804" s="26"/>
      <c r="I1804" s="26"/>
      <c r="J1804" s="26"/>
    </row>
    <row r="1805" spans="2:10" ht="15.95" customHeight="1">
      <c r="B1805" s="456"/>
      <c r="E1805" s="457"/>
      <c r="F1805" s="443"/>
      <c r="G1805" s="26"/>
      <c r="H1805" s="26"/>
      <c r="I1805" s="26"/>
      <c r="J1805" s="26"/>
    </row>
    <row r="1806" spans="2:10" ht="15.95" customHeight="1">
      <c r="B1806" s="456"/>
      <c r="E1806" s="457"/>
      <c r="F1806" s="443"/>
      <c r="G1806" s="26"/>
      <c r="H1806" s="26"/>
      <c r="I1806" s="26"/>
      <c r="J1806" s="26"/>
    </row>
    <row r="1807" spans="2:10" ht="15.95" customHeight="1">
      <c r="B1807" s="456"/>
      <c r="E1807" s="457"/>
      <c r="F1807" s="443"/>
      <c r="G1807" s="26"/>
      <c r="H1807" s="26"/>
      <c r="I1807" s="26"/>
      <c r="J1807" s="26"/>
    </row>
    <row r="1808" spans="2:10" ht="15.95" customHeight="1">
      <c r="B1808" s="456"/>
      <c r="E1808" s="457"/>
      <c r="F1808" s="443"/>
      <c r="G1808" s="26"/>
      <c r="H1808" s="26"/>
      <c r="I1808" s="26"/>
      <c r="J1808" s="26"/>
    </row>
    <row r="1809" spans="2:10" ht="15.95" customHeight="1">
      <c r="B1809" s="456"/>
      <c r="E1809" s="457"/>
      <c r="F1809" s="443"/>
      <c r="G1809" s="26"/>
      <c r="H1809" s="26"/>
      <c r="I1809" s="26"/>
      <c r="J1809" s="26"/>
    </row>
    <row r="1810" spans="2:10" ht="15.95" customHeight="1">
      <c r="B1810" s="456"/>
      <c r="E1810" s="457"/>
      <c r="F1810" s="443"/>
      <c r="G1810" s="26"/>
      <c r="H1810" s="26"/>
      <c r="I1810" s="26"/>
      <c r="J1810" s="26"/>
    </row>
    <row r="1811" spans="2:10" ht="15.95" customHeight="1">
      <c r="B1811" s="456"/>
      <c r="E1811" s="457"/>
      <c r="F1811" s="443"/>
      <c r="G1811" s="26"/>
      <c r="H1811" s="26"/>
      <c r="I1811" s="26"/>
      <c r="J1811" s="26"/>
    </row>
    <row r="1812" spans="2:10" ht="15.95" customHeight="1">
      <c r="B1812" s="456"/>
      <c r="E1812" s="457"/>
      <c r="F1812" s="443"/>
      <c r="G1812" s="26"/>
      <c r="H1812" s="26"/>
      <c r="I1812" s="26"/>
      <c r="J1812" s="26"/>
    </row>
    <row r="1813" spans="2:10" ht="15.95" customHeight="1">
      <c r="B1813" s="456"/>
      <c r="E1813" s="457"/>
      <c r="F1813" s="443"/>
      <c r="G1813" s="26"/>
      <c r="H1813" s="26"/>
      <c r="I1813" s="26"/>
      <c r="J1813" s="26"/>
    </row>
    <row r="1814" spans="2:10" ht="15.95" customHeight="1">
      <c r="B1814" s="456"/>
      <c r="E1814" s="457"/>
      <c r="F1814" s="443"/>
      <c r="G1814" s="26"/>
      <c r="H1814" s="26"/>
      <c r="I1814" s="26"/>
      <c r="J1814" s="26"/>
    </row>
    <row r="1815" spans="2:10" ht="15.95" customHeight="1">
      <c r="B1815" s="456"/>
      <c r="E1815" s="457"/>
      <c r="F1815" s="443"/>
      <c r="G1815" s="26"/>
      <c r="H1815" s="26"/>
      <c r="I1815" s="26"/>
      <c r="J1815" s="26"/>
    </row>
    <row r="1816" spans="2:10" ht="15.95" customHeight="1">
      <c r="B1816" s="456"/>
      <c r="E1816" s="457"/>
      <c r="F1816" s="443"/>
      <c r="G1816" s="26"/>
      <c r="H1816" s="26"/>
      <c r="I1816" s="26"/>
      <c r="J1816" s="26"/>
    </row>
    <row r="1817" spans="2:10" ht="15.95" customHeight="1">
      <c r="B1817" s="456"/>
      <c r="E1817" s="457"/>
      <c r="F1817" s="443"/>
      <c r="G1817" s="26"/>
      <c r="H1817" s="26"/>
      <c r="I1817" s="26"/>
      <c r="J1817" s="26"/>
    </row>
    <row r="1818" spans="2:10" ht="15.95" customHeight="1">
      <c r="B1818" s="456"/>
      <c r="E1818" s="457"/>
      <c r="F1818" s="443"/>
      <c r="G1818" s="26"/>
      <c r="H1818" s="26"/>
      <c r="I1818" s="26"/>
      <c r="J1818" s="26"/>
    </row>
    <row r="1819" spans="2:10" ht="15.95" customHeight="1">
      <c r="B1819" s="456"/>
      <c r="E1819" s="457"/>
      <c r="F1819" s="443"/>
      <c r="G1819" s="26"/>
      <c r="H1819" s="26"/>
      <c r="I1819" s="26"/>
      <c r="J1819" s="26"/>
    </row>
    <row r="1820" spans="2:10" ht="15.95" customHeight="1">
      <c r="B1820" s="456"/>
      <c r="E1820" s="457"/>
      <c r="F1820" s="443"/>
      <c r="G1820" s="26"/>
      <c r="H1820" s="26"/>
      <c r="I1820" s="26"/>
      <c r="J1820" s="26"/>
    </row>
    <row r="1821" spans="2:10" ht="15.95" customHeight="1">
      <c r="B1821" s="456"/>
      <c r="E1821" s="457"/>
      <c r="F1821" s="443"/>
      <c r="G1821" s="26"/>
      <c r="H1821" s="26"/>
      <c r="I1821" s="26"/>
      <c r="J1821" s="26"/>
    </row>
    <row r="1822" spans="2:10" ht="15.95" customHeight="1">
      <c r="B1822" s="456"/>
      <c r="E1822" s="457"/>
      <c r="F1822" s="443"/>
      <c r="G1822" s="26"/>
      <c r="H1822" s="26"/>
      <c r="I1822" s="26"/>
      <c r="J1822" s="26"/>
    </row>
    <row r="1823" spans="2:10" ht="15.95" customHeight="1">
      <c r="B1823" s="456"/>
      <c r="E1823" s="457"/>
      <c r="F1823" s="443"/>
      <c r="G1823" s="26"/>
      <c r="H1823" s="26"/>
      <c r="I1823" s="26"/>
      <c r="J1823" s="26"/>
    </row>
    <row r="1824" spans="2:10" ht="15.95" customHeight="1">
      <c r="B1824" s="456"/>
      <c r="E1824" s="457"/>
      <c r="F1824" s="443"/>
      <c r="G1824" s="26"/>
      <c r="H1824" s="26"/>
      <c r="I1824" s="26"/>
      <c r="J1824" s="26"/>
    </row>
    <row r="1825" spans="2:10" ht="15.95" customHeight="1">
      <c r="B1825" s="456"/>
      <c r="E1825" s="457"/>
      <c r="F1825" s="443"/>
      <c r="G1825" s="26"/>
      <c r="H1825" s="26"/>
      <c r="I1825" s="26"/>
      <c r="J1825" s="26"/>
    </row>
    <row r="1826" spans="2:10" ht="15.95" customHeight="1">
      <c r="B1826" s="456"/>
      <c r="E1826" s="457"/>
      <c r="F1826" s="443"/>
      <c r="G1826" s="26"/>
      <c r="H1826" s="26"/>
      <c r="I1826" s="26"/>
      <c r="J1826" s="26"/>
    </row>
    <row r="1827" spans="2:10" ht="15.95" customHeight="1">
      <c r="B1827" s="456"/>
      <c r="E1827" s="457"/>
      <c r="F1827" s="443"/>
      <c r="G1827" s="26"/>
      <c r="H1827" s="26"/>
      <c r="I1827" s="26"/>
      <c r="J1827" s="26"/>
    </row>
    <row r="1828" spans="2:10" ht="15.95" customHeight="1">
      <c r="B1828" s="456"/>
      <c r="E1828" s="457"/>
      <c r="F1828" s="443"/>
      <c r="G1828" s="26"/>
      <c r="H1828" s="26"/>
      <c r="I1828" s="26"/>
      <c r="J1828" s="26"/>
    </row>
    <row r="1829" spans="2:10" ht="15.95" customHeight="1">
      <c r="B1829" s="456"/>
      <c r="E1829" s="457"/>
      <c r="F1829" s="443"/>
      <c r="G1829" s="26"/>
      <c r="H1829" s="26"/>
      <c r="I1829" s="26"/>
      <c r="J1829" s="26"/>
    </row>
    <row r="1830" spans="2:10" ht="15.95" customHeight="1">
      <c r="B1830" s="456"/>
      <c r="E1830" s="457"/>
      <c r="F1830" s="443"/>
      <c r="G1830" s="26"/>
      <c r="H1830" s="26"/>
      <c r="I1830" s="26"/>
      <c r="J1830" s="26"/>
    </row>
    <row r="1831" spans="2:10" ht="15.95" customHeight="1">
      <c r="B1831" s="456"/>
      <c r="E1831" s="457"/>
      <c r="F1831" s="443"/>
      <c r="G1831" s="26"/>
      <c r="H1831" s="26"/>
      <c r="I1831" s="26"/>
      <c r="J1831" s="26"/>
    </row>
    <row r="1832" spans="2:10" ht="15.95" customHeight="1">
      <c r="B1832" s="456"/>
      <c r="E1832" s="457"/>
      <c r="F1832" s="443"/>
      <c r="G1832" s="26"/>
      <c r="H1832" s="26"/>
      <c r="I1832" s="26"/>
      <c r="J1832" s="26"/>
    </row>
    <row r="1833" spans="2:10" ht="15.95" customHeight="1">
      <c r="B1833" s="456"/>
      <c r="E1833" s="457"/>
      <c r="F1833" s="443"/>
      <c r="G1833" s="26"/>
      <c r="H1833" s="26"/>
      <c r="I1833" s="26"/>
      <c r="J1833" s="26"/>
    </row>
    <row r="1834" spans="2:10" ht="15.95" customHeight="1">
      <c r="B1834" s="456"/>
      <c r="E1834" s="457"/>
      <c r="F1834" s="443"/>
      <c r="G1834" s="26"/>
      <c r="H1834" s="26"/>
      <c r="I1834" s="26"/>
      <c r="J1834" s="26"/>
    </row>
    <row r="1835" spans="2:10" ht="15.95" customHeight="1">
      <c r="B1835" s="456"/>
      <c r="E1835" s="457"/>
      <c r="F1835" s="443"/>
      <c r="G1835" s="26"/>
      <c r="H1835" s="26"/>
      <c r="I1835" s="26"/>
      <c r="J1835" s="26"/>
    </row>
    <row r="1836" spans="2:10" ht="15.95" customHeight="1">
      <c r="B1836" s="456"/>
      <c r="E1836" s="457"/>
      <c r="F1836" s="443"/>
      <c r="G1836" s="26"/>
      <c r="H1836" s="26"/>
      <c r="I1836" s="26"/>
      <c r="J1836" s="26"/>
    </row>
    <row r="1837" spans="2:10" ht="15.95" customHeight="1">
      <c r="B1837" s="456"/>
      <c r="E1837" s="457"/>
      <c r="F1837" s="443"/>
      <c r="G1837" s="26"/>
      <c r="H1837" s="26"/>
      <c r="I1837" s="26"/>
      <c r="J1837" s="26"/>
    </row>
    <row r="1838" spans="2:10" ht="15.95" customHeight="1">
      <c r="B1838" s="456"/>
      <c r="E1838" s="457"/>
      <c r="F1838" s="443"/>
      <c r="G1838" s="26"/>
      <c r="H1838" s="26"/>
      <c r="I1838" s="26"/>
      <c r="J1838" s="26"/>
    </row>
    <row r="1839" spans="2:10" ht="15.95" customHeight="1">
      <c r="B1839" s="456"/>
      <c r="E1839" s="457"/>
      <c r="F1839" s="443"/>
      <c r="G1839" s="26"/>
      <c r="H1839" s="26"/>
      <c r="I1839" s="26"/>
      <c r="J1839" s="26"/>
    </row>
    <row r="1840" spans="2:10" ht="15.95" customHeight="1">
      <c r="B1840" s="456"/>
      <c r="E1840" s="457"/>
      <c r="F1840" s="443"/>
      <c r="G1840" s="26"/>
      <c r="H1840" s="26"/>
      <c r="I1840" s="26"/>
      <c r="J1840" s="26"/>
    </row>
    <row r="1841" spans="2:10" ht="15.95" customHeight="1">
      <c r="B1841" s="456"/>
      <c r="E1841" s="457"/>
      <c r="F1841" s="443"/>
      <c r="G1841" s="26"/>
      <c r="H1841" s="26"/>
      <c r="I1841" s="26"/>
      <c r="J1841" s="26"/>
    </row>
    <row r="1842" spans="2:10" ht="15.95" customHeight="1">
      <c r="B1842" s="456"/>
      <c r="E1842" s="457"/>
      <c r="F1842" s="443"/>
      <c r="G1842" s="26"/>
      <c r="H1842" s="26"/>
      <c r="I1842" s="26"/>
      <c r="J1842" s="26"/>
    </row>
    <row r="1843" spans="2:10" ht="15.95" customHeight="1">
      <c r="B1843" s="456"/>
      <c r="E1843" s="457"/>
      <c r="F1843" s="443"/>
      <c r="G1843" s="26"/>
      <c r="H1843" s="26"/>
      <c r="I1843" s="26"/>
      <c r="J1843" s="26"/>
    </row>
    <row r="1844" spans="2:10" ht="15.95" customHeight="1">
      <c r="B1844" s="456"/>
      <c r="E1844" s="457"/>
      <c r="F1844" s="443"/>
      <c r="G1844" s="26"/>
      <c r="H1844" s="26"/>
      <c r="I1844" s="26"/>
      <c r="J1844" s="26"/>
    </row>
    <row r="1845" spans="2:10" ht="15.95" customHeight="1">
      <c r="B1845" s="456"/>
      <c r="E1845" s="457"/>
      <c r="F1845" s="443"/>
      <c r="G1845" s="26"/>
      <c r="H1845" s="26"/>
      <c r="I1845" s="26"/>
      <c r="J1845" s="26"/>
    </row>
    <row r="1846" spans="2:10" ht="15.95" customHeight="1">
      <c r="B1846" s="456"/>
      <c r="E1846" s="457"/>
      <c r="F1846" s="443"/>
      <c r="G1846" s="26"/>
      <c r="H1846" s="26"/>
      <c r="I1846" s="26"/>
      <c r="J1846" s="26"/>
    </row>
    <row r="1847" spans="2:10" ht="15.95" customHeight="1">
      <c r="B1847" s="456"/>
      <c r="E1847" s="457"/>
      <c r="F1847" s="443"/>
      <c r="G1847" s="26"/>
      <c r="H1847" s="26"/>
      <c r="I1847" s="26"/>
      <c r="J1847" s="26"/>
    </row>
    <row r="1848" spans="2:10" ht="15.95" customHeight="1">
      <c r="B1848" s="456"/>
      <c r="E1848" s="457"/>
      <c r="F1848" s="443"/>
      <c r="G1848" s="26"/>
      <c r="H1848" s="26"/>
      <c r="I1848" s="26"/>
      <c r="J1848" s="26"/>
    </row>
    <row r="1849" spans="2:10" ht="15.95" customHeight="1">
      <c r="B1849" s="456"/>
      <c r="E1849" s="457"/>
      <c r="F1849" s="443"/>
      <c r="G1849" s="26"/>
      <c r="H1849" s="26"/>
      <c r="I1849" s="26"/>
      <c r="J1849" s="26"/>
    </row>
    <row r="1850" spans="2:10" ht="15.95" customHeight="1">
      <c r="B1850" s="456"/>
      <c r="E1850" s="457"/>
      <c r="F1850" s="443"/>
      <c r="G1850" s="26"/>
      <c r="H1850" s="26"/>
      <c r="I1850" s="26"/>
      <c r="J1850" s="26"/>
    </row>
    <row r="1851" spans="2:10" ht="15.95" customHeight="1">
      <c r="B1851" s="456"/>
      <c r="E1851" s="457"/>
      <c r="F1851" s="443"/>
      <c r="G1851" s="26"/>
      <c r="H1851" s="26"/>
      <c r="I1851" s="26"/>
      <c r="J1851" s="26"/>
    </row>
    <row r="1852" spans="2:10" ht="15.95" customHeight="1">
      <c r="B1852" s="456"/>
      <c r="E1852" s="457"/>
      <c r="F1852" s="443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82" t="s">
        <v>244</v>
      </c>
      <c r="N2" s="783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Sheet2</vt:lpstr>
      <vt:lpstr>Sort</vt:lpstr>
      <vt:lpstr>Sheet1</vt:lpstr>
      <vt:lpstr>5A32パレット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2019-07-29T22:00:20Z</cp:lastPrinted>
  <dcterms:created xsi:type="dcterms:W3CDTF">2008-04-28T05:24:02Z</dcterms:created>
  <dcterms:modified xsi:type="dcterms:W3CDTF">2019-09-12T05:03:26Z</dcterms:modified>
</cp:coreProperties>
</file>